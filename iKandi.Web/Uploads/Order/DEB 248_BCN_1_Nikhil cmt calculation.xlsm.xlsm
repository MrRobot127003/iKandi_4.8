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 autoCompressPictures="0"/>
  <bookViews>
    <workbookView xWindow="35760" yWindow="3345" windowWidth="20730" windowHeight="11760" tabRatio="500"/>
  </bookViews>
  <sheets>
    <sheet name="Sheet1" sheetId="1" r:id="rId1"/>
    <sheet name="Sheet2" sheetId="2" r:id="rId2"/>
    <sheet name="Sheet7" sheetId="7" r:id="rId3"/>
  </sheets>
  <definedNames>
    <definedName name="achievement">Sheet1!$D$8</definedName>
    <definedName name="av_mins">Sheet1!$D$6</definedName>
    <definedName name="order_size">Sheet1!$D$9</definedName>
    <definedName name="SAM">Sheet1!$D$3</definedName>
  </definedNames>
  <calcPr calcId="124519"/>
</workbook>
</file>

<file path=xl/calcChain.xml><?xml version="1.0" encoding="utf-8"?>
<calcChain xmlns="http://schemas.openxmlformats.org/spreadsheetml/2006/main">
  <c r="H3" i="2"/>
  <c r="G16"/>
  <c r="M9"/>
  <c r="N6"/>
  <c r="N7"/>
  <c r="N8"/>
  <c r="N5"/>
  <c r="H2"/>
  <c r="N9" l="1"/>
  <c r="G22"/>
  <c r="K12" i="1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11"/>
  <c r="D4" l="1"/>
  <c r="D6" s="1"/>
  <c r="F11" s="1"/>
  <c r="D25" l="1"/>
  <c r="O24" s="1"/>
  <c r="D26"/>
  <c r="G26" s="1"/>
  <c r="N25" s="1"/>
  <c r="D29"/>
  <c r="G29" s="1"/>
  <c r="N28" s="1"/>
  <c r="D30"/>
  <c r="G30" s="1"/>
  <c r="N29" s="1"/>
  <c r="D11"/>
  <c r="D12"/>
  <c r="D13"/>
  <c r="D14"/>
  <c r="D15"/>
  <c r="D18"/>
  <c r="D16"/>
  <c r="D17"/>
  <c r="D19"/>
  <c r="D20"/>
  <c r="D21"/>
  <c r="D24"/>
  <c r="D22"/>
  <c r="D23"/>
  <c r="D28"/>
  <c r="F12"/>
  <c r="F13" s="1"/>
  <c r="F14" s="1"/>
  <c r="D27"/>
  <c r="D31"/>
  <c r="O25" l="1"/>
  <c r="O28"/>
  <c r="O29"/>
  <c r="F15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G25"/>
  <c r="N24" s="1"/>
  <c r="G17"/>
  <c r="N16" s="1"/>
  <c r="O16"/>
  <c r="G22"/>
  <c r="N21" s="1"/>
  <c r="O21"/>
  <c r="G15"/>
  <c r="N14" s="1"/>
  <c r="O14"/>
  <c r="G31"/>
  <c r="N30" s="1"/>
  <c r="O30"/>
  <c r="G23"/>
  <c r="N22" s="1"/>
  <c r="O22"/>
  <c r="G20"/>
  <c r="N19" s="1"/>
  <c r="O19"/>
  <c r="G18"/>
  <c r="N17" s="1"/>
  <c r="O17"/>
  <c r="G12"/>
  <c r="N11" s="1"/>
  <c r="O11"/>
  <c r="O23"/>
  <c r="G24"/>
  <c r="N23" s="1"/>
  <c r="G14"/>
  <c r="N13" s="1"/>
  <c r="O13"/>
  <c r="G27"/>
  <c r="N26" s="1"/>
  <c r="O26"/>
  <c r="G19"/>
  <c r="N18" s="1"/>
  <c r="O18"/>
  <c r="G11"/>
  <c r="H11" s="1"/>
  <c r="O10"/>
  <c r="E11"/>
  <c r="E12" s="1"/>
  <c r="E13" s="1"/>
  <c r="E14" s="1"/>
  <c r="O27"/>
  <c r="G28"/>
  <c r="N27" s="1"/>
  <c r="G21"/>
  <c r="N20" s="1"/>
  <c r="O20"/>
  <c r="G16"/>
  <c r="N15" s="1"/>
  <c r="O15"/>
  <c r="G13"/>
  <c r="N12" s="1"/>
  <c r="O12"/>
  <c r="N10" l="1"/>
  <c r="I11"/>
  <c r="E15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J11" l="1"/>
  <c r="B11" s="1"/>
  <c r="H12"/>
  <c r="I12" l="1"/>
  <c r="J12" s="1"/>
  <c r="B12" s="1"/>
  <c r="H13"/>
  <c r="I13" l="1"/>
  <c r="J13" s="1"/>
  <c r="B13" s="1"/>
  <c r="H14"/>
  <c r="I14" l="1"/>
  <c r="D34" s="1"/>
  <c r="H15"/>
  <c r="J14" l="1"/>
  <c r="B14" s="1"/>
  <c r="D35"/>
  <c r="H16"/>
  <c r="I15"/>
  <c r="J15" s="1"/>
  <c r="B15" s="1"/>
  <c r="H17" l="1"/>
  <c r="I16"/>
  <c r="J16" s="1"/>
  <c r="B16" s="1"/>
  <c r="D36"/>
  <c r="H18" l="1"/>
  <c r="I17"/>
  <c r="J17" s="1"/>
  <c r="B17" s="1"/>
  <c r="H19" l="1"/>
  <c r="I18"/>
  <c r="J18" s="1"/>
  <c r="B18" s="1"/>
  <c r="H20" l="1"/>
  <c r="I19"/>
  <c r="J19" s="1"/>
  <c r="B19" s="1"/>
  <c r="H21" l="1"/>
  <c r="I20"/>
  <c r="J20" s="1"/>
  <c r="B20" s="1"/>
  <c r="H22" l="1"/>
  <c r="I21"/>
  <c r="J21" s="1"/>
  <c r="B21" s="1"/>
  <c r="H23" l="1"/>
  <c r="I22"/>
  <c r="J22" s="1"/>
  <c r="B22" s="1"/>
  <c r="I23" l="1"/>
  <c r="J23" s="1"/>
  <c r="B23" s="1"/>
  <c r="H24"/>
  <c r="H25" l="1"/>
  <c r="I24"/>
  <c r="J24" s="1"/>
  <c r="B24" s="1"/>
  <c r="I25" l="1"/>
  <c r="J25" s="1"/>
  <c r="B25" s="1"/>
  <c r="H26"/>
  <c r="I26" l="1"/>
  <c r="J26" s="1"/>
  <c r="B26" s="1"/>
  <c r="H27"/>
  <c r="I27" l="1"/>
  <c r="J27" s="1"/>
  <c r="B27" s="1"/>
  <c r="H28"/>
  <c r="I28" l="1"/>
  <c r="J28" s="1"/>
  <c r="B28" s="1"/>
  <c r="H29"/>
  <c r="I29" l="1"/>
  <c r="J29" s="1"/>
  <c r="B29" s="1"/>
  <c r="H30"/>
  <c r="I30" l="1"/>
  <c r="J30" s="1"/>
  <c r="B30" s="1"/>
  <c r="H31"/>
  <c r="I31" s="1"/>
  <c r="J31" s="1"/>
  <c r="B31" s="1"/>
  <c r="B32" l="1"/>
  <c r="K33" l="1"/>
  <c r="G37"/>
  <c r="G18" i="2" s="1"/>
  <c r="G20" s="1"/>
  <c r="K34" i="1"/>
  <c r="M33"/>
  <c r="K35" s="1"/>
  <c r="M37"/>
  <c r="K38" s="1"/>
  <c r="K37"/>
  <c r="G21" i="2" l="1"/>
  <c r="H21" s="1"/>
  <c r="G23" s="1"/>
  <c r="G24" s="1"/>
  <c r="G25" s="1"/>
  <c r="G35" i="1"/>
  <c r="G34"/>
  <c r="G36" l="1"/>
  <c r="G17" i="2" l="1"/>
  <c r="G19" s="1"/>
  <c r="D2" i="1"/>
</calcChain>
</file>

<file path=xl/sharedStrings.xml><?xml version="1.0" encoding="utf-8"?>
<sst xmlns="http://schemas.openxmlformats.org/spreadsheetml/2006/main" count="93" uniqueCount="73">
  <si>
    <t>Sam</t>
  </si>
  <si>
    <t>OB W/S</t>
  </si>
  <si>
    <t xml:space="preserve">Hours </t>
  </si>
  <si>
    <t xml:space="preserve">Day </t>
  </si>
  <si>
    <t>Available minutes</t>
  </si>
  <si>
    <t>Earned Minutes</t>
  </si>
  <si>
    <t>Garments made</t>
  </si>
  <si>
    <t>Available Min Cost</t>
  </si>
  <si>
    <t>Barrier Days</t>
  </si>
  <si>
    <t>Achievement</t>
  </si>
  <si>
    <t>Cum Av. Minutes</t>
  </si>
  <si>
    <t>Entering on Cost Sheet</t>
  </si>
  <si>
    <t>Fed Back to Cost Sheet</t>
  </si>
  <si>
    <t>Order Size</t>
  </si>
  <si>
    <t>Balance</t>
  </si>
  <si>
    <t>Total Made</t>
  </si>
  <si>
    <t>On 4th Day balance is les than next day production.</t>
  </si>
  <si>
    <t>Available Min to make</t>
  </si>
  <si>
    <t>Earned Minutes to make</t>
  </si>
  <si>
    <t>Cumulative Earned Minutes</t>
  </si>
  <si>
    <t>Precise Eff</t>
  </si>
  <si>
    <t>Target Day Eff</t>
  </si>
  <si>
    <t>Achievement Levels</t>
  </si>
  <si>
    <t>Default</t>
  </si>
  <si>
    <t>CMT</t>
  </si>
  <si>
    <t>Comparing</t>
  </si>
  <si>
    <t>check for negative</t>
  </si>
  <si>
    <t>Minimum Balance</t>
  </si>
  <si>
    <t>Mini Cum Avl. Min</t>
  </si>
  <si>
    <t>Garment Made</t>
  </si>
  <si>
    <t>Garment Made Check</t>
  </si>
  <si>
    <t>Min Cumm  earned minute</t>
  </si>
  <si>
    <t>Earned min check</t>
  </si>
  <si>
    <t>Earned min Check</t>
  </si>
  <si>
    <t>Available Minute Cost</t>
  </si>
  <si>
    <t>SAM</t>
  </si>
  <si>
    <t>Hours</t>
  </si>
  <si>
    <t>Line</t>
  </si>
  <si>
    <t>OB Station</t>
  </si>
  <si>
    <t>Days</t>
  </si>
  <si>
    <t>No. of days required</t>
  </si>
  <si>
    <t>Order Quantity</t>
  </si>
  <si>
    <t>Initial B.I.H Target Days
(B.I.H target is equivalent B.I.H End Date)</t>
  </si>
  <si>
    <t>Asumption for initial level</t>
  </si>
  <si>
    <t>Order Date</t>
  </si>
  <si>
    <t>By Deafult load time</t>
  </si>
  <si>
    <t>No. of lines</t>
  </si>
  <si>
    <t>Efficiency</t>
  </si>
  <si>
    <t>no. of days req.</t>
  </si>
  <si>
    <t>Total per day load required</t>
  </si>
  <si>
    <t>per day load required as per 1 line</t>
  </si>
  <si>
    <t>B.I.H end Date</t>
  </si>
  <si>
    <t>Initial Transaction days</t>
  </si>
  <si>
    <t>Fabric Name</t>
  </si>
  <si>
    <t>Fabric A</t>
  </si>
  <si>
    <t>Fabric B</t>
  </si>
  <si>
    <t>Fabric C</t>
  </si>
  <si>
    <t>Fabric D</t>
  </si>
  <si>
    <t>Av.</t>
  </si>
  <si>
    <t>Qty Req.</t>
  </si>
  <si>
    <t>initial per day fabric load</t>
  </si>
  <si>
    <t>Req fabric to start work</t>
  </si>
  <si>
    <t>So no. of day req. to find exact fabric inhouse to start load on machine</t>
  </si>
  <si>
    <t>Calculated initial PCD</t>
  </si>
  <si>
    <t>B.I.H Start Date</t>
  </si>
  <si>
    <t>Transaction days</t>
  </si>
  <si>
    <t>Option 1</t>
  </si>
  <si>
    <t>Option 2</t>
  </si>
  <si>
    <t>Calculation of option</t>
  </si>
  <si>
    <t>Max</t>
  </si>
  <si>
    <t>NOTE :</t>
  </si>
  <si>
    <t>IF ALL BALANCE WILL BE POSITIVE VALUE THEN : ALL VALUE PICK UP FROM LAST ROWS AND FORMULA WILL BE SAME.</t>
  </si>
  <si>
    <t>TOTAL MADE AND CMT WILL BE FIX UNTILL SAM, CLIENT AND DEPRTMENT WILL NOT CHANGE. AITHER QUANTITY WOULD BE INCREASE.</t>
  </si>
</sst>
</file>

<file path=xl/styles.xml><?xml version="1.0" encoding="utf-8"?>
<styleSheet xmlns="http://schemas.openxmlformats.org/spreadsheetml/2006/main">
  <numFmts count="3">
    <numFmt numFmtId="164" formatCode="_-* #,##0.00_-;\-* #,##0.00_-;_-* &quot;-&quot;??_-;_-@_-"/>
    <numFmt numFmtId="165" formatCode="_-* #,##0_-;\-* #,##0_-;_-* &quot;-&quot;??_-;_-@_-"/>
    <numFmt numFmtId="166" formatCode="[$-409]d\-mmm\-yy;@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5A5A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</borders>
  <cellStyleXfs count="14">
    <xf numFmtId="0" fontId="0" fillId="0" borderId="0"/>
    <xf numFmtId="9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11" borderId="10" applyNumberFormat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1" fillId="15" borderId="0" applyNumberFormat="0" applyBorder="0" applyAlignment="0" applyProtection="0"/>
    <xf numFmtId="0" fontId="12" fillId="16" borderId="20" applyNumberFormat="0" applyAlignment="0" applyProtection="0"/>
  </cellStyleXfs>
  <cellXfs count="76">
    <xf numFmtId="0" fontId="0" fillId="0" borderId="0" xfId="0"/>
    <xf numFmtId="0" fontId="0" fillId="0" borderId="0" xfId="0" applyAlignment="1">
      <alignment horizontal="center" vertical="center"/>
    </xf>
    <xf numFmtId="9" fontId="0" fillId="0" borderId="0" xfId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9" fontId="0" fillId="2" borderId="1" xfId="1" applyFont="1" applyFill="1" applyBorder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9" fontId="0" fillId="4" borderId="0" xfId="1" applyFont="1" applyFill="1" applyAlignment="1">
      <alignment horizontal="center" vertical="center"/>
    </xf>
    <xf numFmtId="9" fontId="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4" borderId="1" xfId="2" applyNumberFormat="1" applyFont="1" applyFill="1" applyBorder="1" applyAlignment="1">
      <alignment horizontal="center" vertical="center"/>
    </xf>
    <xf numFmtId="9" fontId="0" fillId="4" borderId="1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165" fontId="0" fillId="0" borderId="12" xfId="2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5" fontId="5" fillId="11" borderId="14" xfId="7" applyNumberFormat="1" applyBorder="1" applyAlignment="1">
      <alignment horizontal="center" vertical="center"/>
    </xf>
    <xf numFmtId="165" fontId="5" fillId="11" borderId="16" xfId="7" applyNumberFormat="1" applyBorder="1" applyAlignment="1">
      <alignment horizontal="center" vertical="center"/>
    </xf>
    <xf numFmtId="9" fontId="5" fillId="11" borderId="18" xfId="7" applyNumberFormat="1" applyBorder="1" applyAlignment="1">
      <alignment horizontal="center" vertical="center"/>
    </xf>
    <xf numFmtId="0" fontId="6" fillId="2" borderId="13" xfId="8" applyFill="1" applyBorder="1" applyAlignment="1">
      <alignment horizontal="center" vertical="center"/>
    </xf>
    <xf numFmtId="0" fontId="6" fillId="2" borderId="15" xfId="8" applyFill="1" applyBorder="1" applyAlignment="1">
      <alignment horizontal="center" vertical="center"/>
    </xf>
    <xf numFmtId="0" fontId="6" fillId="2" borderId="17" xfId="8" applyFill="1" applyBorder="1" applyAlignment="1">
      <alignment horizontal="center" vertical="center"/>
    </xf>
    <xf numFmtId="0" fontId="7" fillId="0" borderId="0" xfId="9" applyAlignment="1">
      <alignment horizontal="center" vertical="center"/>
    </xf>
    <xf numFmtId="0" fontId="7" fillId="0" borderId="0" xfId="9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9" fontId="0" fillId="2" borderId="1" xfId="0" applyNumberFormat="1" applyFill="1" applyBorder="1"/>
    <xf numFmtId="0" fontId="0" fillId="0" borderId="12" xfId="0" applyBorder="1"/>
    <xf numFmtId="0" fontId="6" fillId="12" borderId="19" xfId="8" applyFill="1" applyBorder="1" applyAlignment="1">
      <alignment horizontal="center" vertical="center"/>
    </xf>
    <xf numFmtId="0" fontId="6" fillId="12" borderId="11" xfId="8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1" xfId="0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15" borderId="0" xfId="12" applyFont="1" applyAlignment="1">
      <alignment horizontal="center" vertical="center"/>
    </xf>
    <xf numFmtId="0" fontId="0" fillId="0" borderId="0" xfId="0" applyAlignment="1">
      <alignment wrapText="1"/>
    </xf>
    <xf numFmtId="15" fontId="0" fillId="0" borderId="0" xfId="0" applyNumberFormat="1"/>
    <xf numFmtId="9" fontId="0" fillId="0" borderId="0" xfId="0" applyNumberFormat="1"/>
    <xf numFmtId="1" fontId="0" fillId="0" borderId="0" xfId="0" applyNumberFormat="1"/>
    <xf numFmtId="0" fontId="11" fillId="15" borderId="0" xfId="12"/>
    <xf numFmtId="0" fontId="10" fillId="14" borderId="0" xfId="11"/>
    <xf numFmtId="0" fontId="9" fillId="13" borderId="1" xfId="10" applyBorder="1"/>
    <xf numFmtId="0" fontId="12" fillId="16" borderId="20" xfId="13"/>
    <xf numFmtId="1" fontId="12" fillId="16" borderId="20" xfId="13" applyNumberFormat="1"/>
    <xf numFmtId="0" fontId="12" fillId="16" borderId="20" xfId="13" applyAlignment="1">
      <alignment wrapText="1"/>
    </xf>
    <xf numFmtId="15" fontId="12" fillId="16" borderId="20" xfId="13" applyNumberFormat="1"/>
    <xf numFmtId="166" fontId="0" fillId="0" borderId="0" xfId="0" applyNumberFormat="1"/>
    <xf numFmtId="0" fontId="0" fillId="0" borderId="0" xfId="0" applyAlignment="1">
      <alignment horizontal="center" vertical="center"/>
    </xf>
    <xf numFmtId="0" fontId="10" fillId="14" borderId="0" xfId="11" applyAlignment="1">
      <alignment horizontal="center"/>
    </xf>
    <xf numFmtId="0" fontId="0" fillId="0" borderId="0" xfId="0" applyAlignment="1">
      <alignment horizontal="center"/>
    </xf>
    <xf numFmtId="0" fontId="5" fillId="11" borderId="10" xfId="7" applyAlignment="1">
      <alignment horizontal="left" vertical="center" wrapText="1"/>
    </xf>
    <xf numFmtId="0" fontId="5" fillId="11" borderId="10" xfId="7" applyAlignment="1">
      <alignment vertical="center" wrapText="1"/>
    </xf>
    <xf numFmtId="0" fontId="5" fillId="11" borderId="21" xfId="7" applyBorder="1" applyAlignment="1">
      <alignment horizontal="left" vertical="center" wrapText="1"/>
    </xf>
    <xf numFmtId="0" fontId="5" fillId="11" borderId="22" xfId="7" applyBorder="1" applyAlignment="1">
      <alignment horizontal="left" vertical="center" wrapText="1"/>
    </xf>
    <xf numFmtId="0" fontId="0" fillId="0" borderId="23" xfId="0" applyBorder="1" applyAlignment="1">
      <alignment vertical="center" wrapText="1"/>
    </xf>
    <xf numFmtId="0" fontId="5" fillId="11" borderId="24" xfId="7" applyBorder="1" applyAlignment="1">
      <alignment horizontal="center" vertical="center" wrapText="1"/>
    </xf>
    <xf numFmtId="0" fontId="5" fillId="11" borderId="25" xfId="7" applyBorder="1" applyAlignment="1">
      <alignment horizontal="center" vertical="center" wrapText="1"/>
    </xf>
  </cellXfs>
  <cellStyles count="14">
    <cellStyle name="Bad" xfId="11" builtinId="27"/>
    <cellStyle name="Calculation" xfId="13" builtinId="22"/>
    <cellStyle name="Check Cell" xfId="7" builtinId="23"/>
    <cellStyle name="Comma" xfId="2" builtinId="3"/>
    <cellStyle name="Explanatory Text" xfId="9" builtinId="53"/>
    <cellStyle name="Followed Hyperlink" xfId="4" builtinId="9" hidden="1"/>
    <cellStyle name="Followed Hyperlink" xfId="6" builtinId="9" hidden="1"/>
    <cellStyle name="Good" xfId="10" builtinId="26"/>
    <cellStyle name="Hyperlink" xfId="3" builtinId="8" hidden="1"/>
    <cellStyle name="Hyperlink" xfId="5" builtinId="8" hidden="1"/>
    <cellStyle name="Neutral" xfId="12" builtinId="28"/>
    <cellStyle name="Normal" xfId="0" builtinId="0"/>
    <cellStyle name="Percent" xfId="1" builtinId="5"/>
    <cellStyle name="Warning Text" xfId="8" builtinId="1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OB Updator"/>
  <ax:ocxPr ax:name="Size" ax:value="6112;1958"/>
  <ax:ocxPr ax:name="FontName" ax:value="Calibri"/>
  <ax:ocxPr ax:name="FontHeight" ax:value="240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42"/>
  <sheetViews>
    <sheetView tabSelected="1" topLeftCell="A4" zoomScale="70" zoomScaleNormal="70" zoomScalePageLayoutView="200" workbookViewId="0">
      <selection activeCell="B40" sqref="B40:H41"/>
    </sheetView>
  </sheetViews>
  <sheetFormatPr defaultColWidth="25.125" defaultRowHeight="26.1" customHeight="1"/>
  <cols>
    <col min="1" max="1" width="9.25" style="1" customWidth="1"/>
    <col min="2" max="2" width="18.75" style="17" customWidth="1"/>
    <col min="3" max="16384" width="25.125" style="1"/>
  </cols>
  <sheetData>
    <row r="1" spans="1:15" ht="26.1" customHeight="1" thickBot="1">
      <c r="C1" s="6" t="s">
        <v>7</v>
      </c>
      <c r="D1" s="43">
        <v>1.9</v>
      </c>
      <c r="H1" s="6" t="s">
        <v>22</v>
      </c>
      <c r="J1" s="48" t="s">
        <v>37</v>
      </c>
      <c r="K1" s="49" t="s">
        <v>38</v>
      </c>
    </row>
    <row r="2" spans="1:15" ht="26.1" customHeight="1" thickBot="1">
      <c r="C2" s="1" t="s">
        <v>24</v>
      </c>
      <c r="D2" s="8">
        <f>(SAM/G36)*D1</f>
        <v>78.929157166286643</v>
      </c>
      <c r="E2" s="3"/>
      <c r="F2" s="3" t="s">
        <v>12</v>
      </c>
      <c r="H2" s="7">
        <v>0.4</v>
      </c>
      <c r="J2" s="47">
        <v>1</v>
      </c>
      <c r="K2" s="50">
        <v>40</v>
      </c>
    </row>
    <row r="3" spans="1:15" ht="26.1" customHeight="1">
      <c r="C3" s="1" t="s">
        <v>0</v>
      </c>
      <c r="D3" s="43">
        <v>15</v>
      </c>
      <c r="F3" s="1" t="s">
        <v>11</v>
      </c>
      <c r="H3" s="7">
        <v>0.5</v>
      </c>
    </row>
    <row r="4" spans="1:15" ht="26.1" customHeight="1">
      <c r="C4" s="1" t="s">
        <v>1</v>
      </c>
      <c r="D4" s="46">
        <f>J2*K2</f>
        <v>40</v>
      </c>
      <c r="F4" s="1" t="s">
        <v>11</v>
      </c>
      <c r="H4" s="7">
        <v>0.6</v>
      </c>
    </row>
    <row r="5" spans="1:15" ht="26.1" customHeight="1">
      <c r="C5" s="6" t="s">
        <v>2</v>
      </c>
      <c r="D5" s="43">
        <v>10</v>
      </c>
      <c r="H5" s="7">
        <v>0.7</v>
      </c>
      <c r="I5" s="1" t="s">
        <v>23</v>
      </c>
    </row>
    <row r="6" spans="1:15" ht="26.1" customHeight="1">
      <c r="C6" s="1" t="s">
        <v>4</v>
      </c>
      <c r="D6" s="1">
        <f>D5*D4*60</f>
        <v>24000</v>
      </c>
      <c r="H6" s="7">
        <v>0.8</v>
      </c>
    </row>
    <row r="7" spans="1:15" ht="25.5" customHeight="1">
      <c r="C7" s="6" t="s">
        <v>8</v>
      </c>
      <c r="D7" s="43">
        <v>21</v>
      </c>
      <c r="H7" s="7">
        <v>0.9</v>
      </c>
    </row>
    <row r="8" spans="1:15" ht="26.1" customHeight="1">
      <c r="C8" s="6" t="s">
        <v>9</v>
      </c>
      <c r="D8" s="45">
        <v>0.9</v>
      </c>
      <c r="E8" s="9"/>
      <c r="F8" s="2"/>
    </row>
    <row r="9" spans="1:15" ht="26.1" customHeight="1">
      <c r="C9" s="1" t="s">
        <v>13</v>
      </c>
      <c r="D9" s="44">
        <v>10000</v>
      </c>
      <c r="E9" s="4"/>
      <c r="F9" s="1" t="s">
        <v>11</v>
      </c>
    </row>
    <row r="10" spans="1:15" ht="57.95" customHeight="1">
      <c r="A10" s="11" t="s">
        <v>3</v>
      </c>
      <c r="B10" s="41" t="s">
        <v>26</v>
      </c>
      <c r="C10" s="11" t="s">
        <v>21</v>
      </c>
      <c r="D10" s="1" t="s">
        <v>5</v>
      </c>
      <c r="E10" s="5" t="s">
        <v>19</v>
      </c>
      <c r="F10" s="1" t="s">
        <v>10</v>
      </c>
      <c r="G10" s="1" t="s">
        <v>6</v>
      </c>
      <c r="H10" s="1" t="s">
        <v>15</v>
      </c>
      <c r="I10" s="1" t="s">
        <v>14</v>
      </c>
      <c r="J10" s="16" t="s">
        <v>25</v>
      </c>
      <c r="K10" s="52" t="s">
        <v>39</v>
      </c>
      <c r="N10" s="17">
        <f>G11</f>
        <v>144</v>
      </c>
      <c r="O10" s="1">
        <f>D11</f>
        <v>2160</v>
      </c>
    </row>
    <row r="11" spans="1:15" ht="26.1" customHeight="1">
      <c r="A11" s="11">
        <v>1</v>
      </c>
      <c r="B11" s="41">
        <f>IF(J11&gt;0,I11,"0")</f>
        <v>9856</v>
      </c>
      <c r="C11" s="10">
        <v>0.1</v>
      </c>
      <c r="D11" s="1">
        <f t="shared" ref="D11:D16" si="0">C11*av_mins*achievement</f>
        <v>2160</v>
      </c>
      <c r="E11" s="1">
        <f>D11</f>
        <v>2160</v>
      </c>
      <c r="F11" s="1">
        <f>av_mins</f>
        <v>24000</v>
      </c>
      <c r="G11" s="1">
        <f t="shared" ref="G11:G31" si="1">ROUND((D11/SAM),0)</f>
        <v>144</v>
      </c>
      <c r="H11" s="1">
        <f>G11</f>
        <v>144</v>
      </c>
      <c r="I11" s="1">
        <f>order_size-H11</f>
        <v>9856</v>
      </c>
      <c r="J11" s="1">
        <f>I11</f>
        <v>9856</v>
      </c>
      <c r="K11" s="1">
        <f>A11</f>
        <v>1</v>
      </c>
      <c r="N11" s="17">
        <f t="shared" ref="N11:N23" si="2">G12</f>
        <v>288</v>
      </c>
      <c r="O11" s="17">
        <f t="shared" ref="O11:O23" si="3">D12</f>
        <v>4320</v>
      </c>
    </row>
    <row r="12" spans="1:15" ht="26.1" customHeight="1">
      <c r="A12" s="11">
        <v>2</v>
      </c>
      <c r="B12" s="41">
        <f t="shared" ref="B12:B31" si="4">IF(J12&gt;0,I12,"0")</f>
        <v>9568</v>
      </c>
      <c r="C12" s="10">
        <v>0.2</v>
      </c>
      <c r="D12" s="1">
        <f t="shared" si="0"/>
        <v>4320</v>
      </c>
      <c r="E12" s="1">
        <f>D12+E11</f>
        <v>6480</v>
      </c>
      <c r="F12" s="1">
        <f t="shared" ref="F12:F30" si="5">F11+av_mins</f>
        <v>48000</v>
      </c>
      <c r="G12" s="15">
        <f>ROUND((D12/SAM),0)</f>
        <v>288</v>
      </c>
      <c r="H12" s="1">
        <f>H11+G12</f>
        <v>432</v>
      </c>
      <c r="I12" s="1">
        <f>order_size-H12</f>
        <v>9568</v>
      </c>
      <c r="J12" s="16">
        <f t="shared" ref="J12:J31" si="6">I12</f>
        <v>9568</v>
      </c>
      <c r="K12" s="52">
        <f t="shared" ref="K12:K31" si="7">A12</f>
        <v>2</v>
      </c>
      <c r="N12" s="17">
        <f t="shared" si="2"/>
        <v>432</v>
      </c>
      <c r="O12" s="17">
        <f t="shared" si="3"/>
        <v>6480</v>
      </c>
    </row>
    <row r="13" spans="1:15" ht="26.1" customHeight="1">
      <c r="A13" s="11">
        <v>3</v>
      </c>
      <c r="B13" s="41">
        <f t="shared" si="4"/>
        <v>9136</v>
      </c>
      <c r="C13" s="10">
        <v>0.3</v>
      </c>
      <c r="D13" s="1">
        <f t="shared" si="0"/>
        <v>6480</v>
      </c>
      <c r="E13" s="1">
        <f t="shared" ref="E13:E15" si="8">D13+E12</f>
        <v>12960</v>
      </c>
      <c r="F13" s="1">
        <f t="shared" si="5"/>
        <v>72000</v>
      </c>
      <c r="G13" s="15">
        <f t="shared" si="1"/>
        <v>432</v>
      </c>
      <c r="H13" s="1">
        <f t="shared" ref="H13:H15" si="9">H12+G13</f>
        <v>864</v>
      </c>
      <c r="I13" s="1">
        <f t="shared" ref="I13:I15" si="10">order_size-H13</f>
        <v>9136</v>
      </c>
      <c r="J13" s="16">
        <f t="shared" si="6"/>
        <v>9136</v>
      </c>
      <c r="K13" s="52">
        <f t="shared" si="7"/>
        <v>3</v>
      </c>
      <c r="N13" s="17">
        <f t="shared" si="2"/>
        <v>475</v>
      </c>
      <c r="O13" s="17">
        <f t="shared" si="3"/>
        <v>7128</v>
      </c>
    </row>
    <row r="14" spans="1:15" ht="26.1" customHeight="1">
      <c r="A14" s="11">
        <v>4</v>
      </c>
      <c r="B14" s="41">
        <f>IF(J14&gt;0,I14,"0")</f>
        <v>8661</v>
      </c>
      <c r="C14" s="10">
        <v>0.33</v>
      </c>
      <c r="D14" s="1">
        <f t="shared" si="0"/>
        <v>7128</v>
      </c>
      <c r="E14" s="1">
        <f t="shared" si="8"/>
        <v>20088</v>
      </c>
      <c r="F14" s="1">
        <f t="shared" si="5"/>
        <v>96000</v>
      </c>
      <c r="G14" s="15">
        <f t="shared" si="1"/>
        <v>475</v>
      </c>
      <c r="H14" s="1">
        <f t="shared" si="9"/>
        <v>1339</v>
      </c>
      <c r="I14" s="1">
        <f t="shared" si="10"/>
        <v>8661</v>
      </c>
      <c r="J14" s="16">
        <f t="shared" si="6"/>
        <v>8661</v>
      </c>
      <c r="K14" s="52">
        <f t="shared" si="7"/>
        <v>4</v>
      </c>
      <c r="N14" s="17">
        <f t="shared" si="2"/>
        <v>504</v>
      </c>
      <c r="O14" s="17">
        <f t="shared" si="3"/>
        <v>7560</v>
      </c>
    </row>
    <row r="15" spans="1:15" ht="26.1" customHeight="1">
      <c r="A15" s="11">
        <v>5</v>
      </c>
      <c r="B15" s="41">
        <f t="shared" si="4"/>
        <v>8157</v>
      </c>
      <c r="C15" s="10">
        <v>0.35</v>
      </c>
      <c r="D15" s="1">
        <f t="shared" si="0"/>
        <v>7560</v>
      </c>
      <c r="E15" s="1">
        <f t="shared" si="8"/>
        <v>27648</v>
      </c>
      <c r="F15" s="1">
        <f t="shared" si="5"/>
        <v>120000</v>
      </c>
      <c r="G15" s="15">
        <f t="shared" si="1"/>
        <v>504</v>
      </c>
      <c r="H15" s="1">
        <f t="shared" si="9"/>
        <v>1843</v>
      </c>
      <c r="I15" s="1">
        <f t="shared" si="10"/>
        <v>8157</v>
      </c>
      <c r="J15" s="16">
        <f t="shared" si="6"/>
        <v>8157</v>
      </c>
      <c r="K15" s="52">
        <f t="shared" si="7"/>
        <v>5</v>
      </c>
      <c r="N15" s="17">
        <f t="shared" si="2"/>
        <v>533</v>
      </c>
      <c r="O15" s="17">
        <f t="shared" si="3"/>
        <v>7992</v>
      </c>
    </row>
    <row r="16" spans="1:15" ht="26.1" customHeight="1">
      <c r="A16" s="11">
        <v>6</v>
      </c>
      <c r="B16" s="41">
        <f t="shared" si="4"/>
        <v>7624</v>
      </c>
      <c r="C16" s="10">
        <v>0.37</v>
      </c>
      <c r="D16" s="1">
        <f t="shared" si="0"/>
        <v>7992</v>
      </c>
      <c r="E16" s="1">
        <f>D16+E15</f>
        <v>35640</v>
      </c>
      <c r="F16" s="1">
        <f t="shared" si="5"/>
        <v>144000</v>
      </c>
      <c r="G16" s="15">
        <f t="shared" si="1"/>
        <v>533</v>
      </c>
      <c r="H16" s="1">
        <f>H15+G16</f>
        <v>2376</v>
      </c>
      <c r="I16" s="1">
        <f t="shared" ref="I16:I23" si="11">order_size-H16</f>
        <v>7624</v>
      </c>
      <c r="J16" s="16">
        <f t="shared" si="6"/>
        <v>7624</v>
      </c>
      <c r="K16" s="52">
        <f t="shared" si="7"/>
        <v>6</v>
      </c>
      <c r="N16" s="17">
        <f t="shared" si="2"/>
        <v>562</v>
      </c>
      <c r="O16" s="17">
        <f t="shared" si="3"/>
        <v>8424</v>
      </c>
    </row>
    <row r="17" spans="1:15" s="15" customFormat="1" ht="26.1" customHeight="1">
      <c r="A17" s="11">
        <v>7</v>
      </c>
      <c r="B17" s="41">
        <f t="shared" si="4"/>
        <v>7062</v>
      </c>
      <c r="C17" s="10">
        <v>0.39</v>
      </c>
      <c r="D17" s="15">
        <f t="shared" ref="D17:D18" si="12">C17*av_mins*achievement</f>
        <v>8424</v>
      </c>
      <c r="E17" s="15">
        <f t="shared" ref="E17:E23" si="13">D17+E16</f>
        <v>44064</v>
      </c>
      <c r="F17" s="15">
        <f t="shared" si="5"/>
        <v>168000</v>
      </c>
      <c r="G17" s="15">
        <f t="shared" si="1"/>
        <v>562</v>
      </c>
      <c r="H17" s="15">
        <f t="shared" ref="H17:H24" si="14">H16+G17</f>
        <v>2938</v>
      </c>
      <c r="I17" s="15">
        <f t="shared" si="11"/>
        <v>7062</v>
      </c>
      <c r="J17" s="16">
        <f t="shared" si="6"/>
        <v>7062</v>
      </c>
      <c r="K17" s="52">
        <f t="shared" si="7"/>
        <v>7</v>
      </c>
      <c r="N17" s="17">
        <f t="shared" si="2"/>
        <v>590</v>
      </c>
      <c r="O17" s="17">
        <f t="shared" si="3"/>
        <v>8856</v>
      </c>
    </row>
    <row r="18" spans="1:15" s="15" customFormat="1" ht="26.1" customHeight="1">
      <c r="A18" s="11">
        <v>8</v>
      </c>
      <c r="B18" s="41">
        <f t="shared" si="4"/>
        <v>6472</v>
      </c>
      <c r="C18" s="10">
        <v>0.41</v>
      </c>
      <c r="D18" s="15">
        <f t="shared" si="12"/>
        <v>8856</v>
      </c>
      <c r="E18" s="15">
        <f t="shared" si="13"/>
        <v>52920</v>
      </c>
      <c r="F18" s="15">
        <f t="shared" si="5"/>
        <v>192000</v>
      </c>
      <c r="G18" s="15">
        <f t="shared" si="1"/>
        <v>590</v>
      </c>
      <c r="H18" s="15">
        <f t="shared" si="14"/>
        <v>3528</v>
      </c>
      <c r="I18" s="15">
        <f t="shared" si="11"/>
        <v>6472</v>
      </c>
      <c r="J18" s="16">
        <f t="shared" si="6"/>
        <v>6472</v>
      </c>
      <c r="K18" s="52">
        <f t="shared" si="7"/>
        <v>8</v>
      </c>
      <c r="N18" s="17">
        <f t="shared" si="2"/>
        <v>619</v>
      </c>
      <c r="O18" s="17">
        <f t="shared" si="3"/>
        <v>9288</v>
      </c>
    </row>
    <row r="19" spans="1:15" ht="26.1" customHeight="1">
      <c r="A19" s="11">
        <v>9</v>
      </c>
      <c r="B19" s="41">
        <f t="shared" si="4"/>
        <v>5853</v>
      </c>
      <c r="C19" s="10">
        <v>0.43</v>
      </c>
      <c r="D19" s="15">
        <f t="shared" ref="D19:D31" si="15">C19*av_mins*achievement</f>
        <v>9288</v>
      </c>
      <c r="E19" s="15">
        <f t="shared" si="13"/>
        <v>62208</v>
      </c>
      <c r="F19" s="15">
        <f t="shared" si="5"/>
        <v>216000</v>
      </c>
      <c r="G19" s="15">
        <f t="shared" si="1"/>
        <v>619</v>
      </c>
      <c r="H19" s="15">
        <f t="shared" si="14"/>
        <v>4147</v>
      </c>
      <c r="I19" s="15">
        <f t="shared" si="11"/>
        <v>5853</v>
      </c>
      <c r="J19" s="16">
        <f t="shared" si="6"/>
        <v>5853</v>
      </c>
      <c r="K19" s="52">
        <f t="shared" si="7"/>
        <v>9</v>
      </c>
      <c r="N19" s="17">
        <f t="shared" si="2"/>
        <v>648</v>
      </c>
      <c r="O19" s="17">
        <f t="shared" si="3"/>
        <v>9720</v>
      </c>
    </row>
    <row r="20" spans="1:15" s="15" customFormat="1" ht="26.1" customHeight="1">
      <c r="A20" s="11">
        <v>10</v>
      </c>
      <c r="B20" s="41">
        <f t="shared" si="4"/>
        <v>5205</v>
      </c>
      <c r="C20" s="10">
        <v>0.45</v>
      </c>
      <c r="D20" s="15">
        <f t="shared" si="15"/>
        <v>9720</v>
      </c>
      <c r="E20" s="15">
        <f t="shared" si="13"/>
        <v>71928</v>
      </c>
      <c r="F20" s="15">
        <f t="shared" si="5"/>
        <v>240000</v>
      </c>
      <c r="G20" s="15">
        <f t="shared" si="1"/>
        <v>648</v>
      </c>
      <c r="H20" s="15">
        <f t="shared" si="14"/>
        <v>4795</v>
      </c>
      <c r="I20" s="15">
        <f t="shared" si="11"/>
        <v>5205</v>
      </c>
      <c r="J20" s="16">
        <f t="shared" si="6"/>
        <v>5205</v>
      </c>
      <c r="K20" s="52">
        <f t="shared" si="7"/>
        <v>10</v>
      </c>
      <c r="N20" s="17">
        <f t="shared" si="2"/>
        <v>677</v>
      </c>
      <c r="O20" s="17">
        <f t="shared" si="3"/>
        <v>10152</v>
      </c>
    </row>
    <row r="21" spans="1:15" s="15" customFormat="1" ht="26.1" customHeight="1">
      <c r="A21" s="11">
        <v>11</v>
      </c>
      <c r="B21" s="41">
        <f t="shared" si="4"/>
        <v>4528</v>
      </c>
      <c r="C21" s="10">
        <v>0.47</v>
      </c>
      <c r="D21" s="15">
        <f t="shared" si="15"/>
        <v>10152</v>
      </c>
      <c r="E21" s="15">
        <f t="shared" si="13"/>
        <v>82080</v>
      </c>
      <c r="F21" s="15">
        <f t="shared" si="5"/>
        <v>264000</v>
      </c>
      <c r="G21" s="15">
        <f t="shared" si="1"/>
        <v>677</v>
      </c>
      <c r="H21" s="15">
        <f t="shared" si="14"/>
        <v>5472</v>
      </c>
      <c r="I21" s="15">
        <f t="shared" si="11"/>
        <v>4528</v>
      </c>
      <c r="J21" s="16">
        <f t="shared" si="6"/>
        <v>4528</v>
      </c>
      <c r="K21" s="52">
        <f t="shared" si="7"/>
        <v>11</v>
      </c>
      <c r="N21" s="17">
        <f t="shared" si="2"/>
        <v>706</v>
      </c>
      <c r="O21" s="17">
        <f t="shared" si="3"/>
        <v>10584</v>
      </c>
    </row>
    <row r="22" spans="1:15" s="15" customFormat="1" ht="26.1" customHeight="1">
      <c r="A22" s="11">
        <v>12</v>
      </c>
      <c r="B22" s="41">
        <f t="shared" si="4"/>
        <v>3822</v>
      </c>
      <c r="C22" s="10">
        <v>0.49</v>
      </c>
      <c r="D22" s="15">
        <f t="shared" si="15"/>
        <v>10584</v>
      </c>
      <c r="E22" s="15">
        <f t="shared" si="13"/>
        <v>92664</v>
      </c>
      <c r="F22" s="15">
        <f t="shared" si="5"/>
        <v>288000</v>
      </c>
      <c r="G22" s="15">
        <f t="shared" si="1"/>
        <v>706</v>
      </c>
      <c r="H22" s="15">
        <f t="shared" si="14"/>
        <v>6178</v>
      </c>
      <c r="I22" s="15">
        <f t="shared" si="11"/>
        <v>3822</v>
      </c>
      <c r="J22" s="16">
        <f t="shared" si="6"/>
        <v>3822</v>
      </c>
      <c r="K22" s="52">
        <f t="shared" si="7"/>
        <v>12</v>
      </c>
      <c r="N22" s="17">
        <f t="shared" si="2"/>
        <v>720</v>
      </c>
      <c r="O22" s="17">
        <f t="shared" si="3"/>
        <v>10800</v>
      </c>
    </row>
    <row r="23" spans="1:15" s="15" customFormat="1" ht="26.1" customHeight="1">
      <c r="A23" s="11">
        <v>13</v>
      </c>
      <c r="B23" s="41">
        <f t="shared" si="4"/>
        <v>3102</v>
      </c>
      <c r="C23" s="10">
        <v>0.5</v>
      </c>
      <c r="D23" s="15">
        <f t="shared" si="15"/>
        <v>10800</v>
      </c>
      <c r="E23" s="15">
        <f t="shared" si="13"/>
        <v>103464</v>
      </c>
      <c r="F23" s="15">
        <f t="shared" si="5"/>
        <v>312000</v>
      </c>
      <c r="G23" s="15">
        <f t="shared" si="1"/>
        <v>720</v>
      </c>
      <c r="H23" s="15">
        <f t="shared" si="14"/>
        <v>6898</v>
      </c>
      <c r="I23" s="15">
        <f t="shared" si="11"/>
        <v>3102</v>
      </c>
      <c r="J23" s="16">
        <f t="shared" si="6"/>
        <v>3102</v>
      </c>
      <c r="K23" s="52">
        <f t="shared" si="7"/>
        <v>13</v>
      </c>
      <c r="N23" s="17">
        <f t="shared" si="2"/>
        <v>720</v>
      </c>
      <c r="O23" s="17">
        <f t="shared" si="3"/>
        <v>10800</v>
      </c>
    </row>
    <row r="24" spans="1:15" s="15" customFormat="1" ht="26.1" customHeight="1">
      <c r="A24" s="11">
        <v>14</v>
      </c>
      <c r="B24" s="41">
        <f>IF(J24&gt;0,I24,"0")</f>
        <v>2382</v>
      </c>
      <c r="C24" s="10">
        <v>0.5</v>
      </c>
      <c r="D24" s="15">
        <f t="shared" si="15"/>
        <v>10800</v>
      </c>
      <c r="E24" s="15">
        <f>D24+E23</f>
        <v>114264</v>
      </c>
      <c r="F24" s="15">
        <f t="shared" si="5"/>
        <v>336000</v>
      </c>
      <c r="G24" s="15">
        <f t="shared" si="1"/>
        <v>720</v>
      </c>
      <c r="H24" s="15">
        <f t="shared" si="14"/>
        <v>7618</v>
      </c>
      <c r="I24" s="15">
        <f>order_size-H24</f>
        <v>2382</v>
      </c>
      <c r="J24" s="16">
        <f t="shared" si="6"/>
        <v>2382</v>
      </c>
      <c r="K24" s="52">
        <f t="shared" si="7"/>
        <v>14</v>
      </c>
      <c r="N24" s="17">
        <f>G25</f>
        <v>720</v>
      </c>
      <c r="O24" s="17">
        <f>D25</f>
        <v>10800</v>
      </c>
    </row>
    <row r="25" spans="1:15" customFormat="1" ht="26.1" customHeight="1">
      <c r="A25" s="11">
        <v>15</v>
      </c>
      <c r="B25" s="41">
        <f>IF(J25&gt;0,I25,"0")</f>
        <v>1662</v>
      </c>
      <c r="C25" s="10">
        <v>0.5</v>
      </c>
      <c r="D25" s="51">
        <f t="shared" si="15"/>
        <v>10800</v>
      </c>
      <c r="E25" s="52">
        <f>D25+E24</f>
        <v>125064</v>
      </c>
      <c r="F25" s="52">
        <f>F24+av_mins</f>
        <v>360000</v>
      </c>
      <c r="G25" s="52">
        <f>ROUND((D25/SAM),0)</f>
        <v>720</v>
      </c>
      <c r="H25" s="52">
        <f>H24+G25</f>
        <v>8338</v>
      </c>
      <c r="I25" s="52">
        <f>order_size-H25</f>
        <v>1662</v>
      </c>
      <c r="J25" s="52">
        <f t="shared" si="6"/>
        <v>1662</v>
      </c>
      <c r="K25" s="52">
        <f t="shared" si="7"/>
        <v>15</v>
      </c>
      <c r="N25" s="52">
        <f t="shared" ref="N25:N29" si="16">G26</f>
        <v>720</v>
      </c>
      <c r="O25" s="52">
        <f t="shared" ref="O25:O30" si="17">D26</f>
        <v>10800</v>
      </c>
    </row>
    <row r="26" spans="1:15" customFormat="1" ht="26.1" customHeight="1">
      <c r="A26" s="11">
        <v>16</v>
      </c>
      <c r="B26" s="41">
        <f>IF(J26&gt;0,I26,"0")</f>
        <v>942</v>
      </c>
      <c r="C26" s="10">
        <v>0.5</v>
      </c>
      <c r="D26" s="51">
        <f t="shared" si="15"/>
        <v>10800</v>
      </c>
      <c r="E26" s="52">
        <f>D26+E25</f>
        <v>135864</v>
      </c>
      <c r="F26" s="52">
        <f>F25+av_mins</f>
        <v>384000</v>
      </c>
      <c r="G26" s="52">
        <f>ROUND((D26/SAM),0)</f>
        <v>720</v>
      </c>
      <c r="H26" s="52">
        <f>H25+G26</f>
        <v>9058</v>
      </c>
      <c r="I26" s="52">
        <f>order_size-H26</f>
        <v>942</v>
      </c>
      <c r="J26" s="52">
        <f t="shared" si="6"/>
        <v>942</v>
      </c>
      <c r="K26" s="52">
        <f t="shared" si="7"/>
        <v>16</v>
      </c>
      <c r="N26" s="52">
        <f t="shared" si="16"/>
        <v>720</v>
      </c>
      <c r="O26" s="52">
        <f t="shared" si="17"/>
        <v>10800</v>
      </c>
    </row>
    <row r="27" spans="1:15" customFormat="1" ht="26.1" customHeight="1">
      <c r="A27" s="11">
        <v>17</v>
      </c>
      <c r="B27" s="41">
        <f t="shared" si="4"/>
        <v>222</v>
      </c>
      <c r="C27" s="10">
        <v>0.5</v>
      </c>
      <c r="D27" s="51">
        <f t="shared" si="15"/>
        <v>10800</v>
      </c>
      <c r="E27" s="52">
        <f t="shared" ref="E27:E29" si="18">D27+E26</f>
        <v>146664</v>
      </c>
      <c r="F27" s="52">
        <f t="shared" si="5"/>
        <v>408000</v>
      </c>
      <c r="G27" s="52">
        <f t="shared" si="1"/>
        <v>720</v>
      </c>
      <c r="H27" s="52">
        <f t="shared" ref="H27:H29" si="19">H26+G27</f>
        <v>9778</v>
      </c>
      <c r="I27" s="52">
        <f t="shared" ref="I27:I31" si="20">order_size-H27</f>
        <v>222</v>
      </c>
      <c r="J27" s="52">
        <f t="shared" si="6"/>
        <v>222</v>
      </c>
      <c r="K27" s="52">
        <f t="shared" si="7"/>
        <v>17</v>
      </c>
      <c r="N27" s="52">
        <f t="shared" si="16"/>
        <v>720</v>
      </c>
      <c r="O27" s="52">
        <f t="shared" si="17"/>
        <v>10800</v>
      </c>
    </row>
    <row r="28" spans="1:15" customFormat="1" ht="26.1" customHeight="1">
      <c r="A28" s="11">
        <v>18</v>
      </c>
      <c r="B28" s="41" t="str">
        <f t="shared" si="4"/>
        <v>0</v>
      </c>
      <c r="C28" s="10">
        <v>0.5</v>
      </c>
      <c r="D28" s="51">
        <f t="shared" si="15"/>
        <v>10800</v>
      </c>
      <c r="E28" s="52">
        <f t="shared" si="18"/>
        <v>157464</v>
      </c>
      <c r="F28" s="52">
        <f t="shared" si="5"/>
        <v>432000</v>
      </c>
      <c r="G28" s="52">
        <f t="shared" si="1"/>
        <v>720</v>
      </c>
      <c r="H28" s="52">
        <f t="shared" si="19"/>
        <v>10498</v>
      </c>
      <c r="I28" s="52">
        <f t="shared" si="20"/>
        <v>-498</v>
      </c>
      <c r="J28" s="52">
        <f t="shared" si="6"/>
        <v>-498</v>
      </c>
      <c r="K28" s="52">
        <f t="shared" si="7"/>
        <v>18</v>
      </c>
      <c r="N28" s="52">
        <f t="shared" si="16"/>
        <v>720</v>
      </c>
      <c r="O28" s="52">
        <f t="shared" si="17"/>
        <v>10800</v>
      </c>
    </row>
    <row r="29" spans="1:15" customFormat="1" ht="26.1" customHeight="1">
      <c r="A29" s="11">
        <v>19</v>
      </c>
      <c r="B29" s="41" t="str">
        <f t="shared" si="4"/>
        <v>0</v>
      </c>
      <c r="C29" s="10">
        <v>0.5</v>
      </c>
      <c r="D29" s="51">
        <f t="shared" si="15"/>
        <v>10800</v>
      </c>
      <c r="E29" s="52">
        <f t="shared" si="18"/>
        <v>168264</v>
      </c>
      <c r="F29" s="52">
        <f t="shared" si="5"/>
        <v>456000</v>
      </c>
      <c r="G29" s="52">
        <f t="shared" si="1"/>
        <v>720</v>
      </c>
      <c r="H29" s="52">
        <f t="shared" si="19"/>
        <v>11218</v>
      </c>
      <c r="I29" s="52">
        <f t="shared" si="20"/>
        <v>-1218</v>
      </c>
      <c r="J29" s="52">
        <f t="shared" si="6"/>
        <v>-1218</v>
      </c>
      <c r="K29" s="52">
        <f t="shared" si="7"/>
        <v>19</v>
      </c>
      <c r="N29" s="52">
        <f t="shared" si="16"/>
        <v>720</v>
      </c>
      <c r="O29" s="52">
        <f t="shared" si="17"/>
        <v>10800</v>
      </c>
    </row>
    <row r="30" spans="1:15" customFormat="1" ht="26.1" customHeight="1">
      <c r="A30" s="11">
        <v>20</v>
      </c>
      <c r="B30" s="41" t="str">
        <f t="shared" si="4"/>
        <v>0</v>
      </c>
      <c r="C30" s="10">
        <v>0.5</v>
      </c>
      <c r="D30" s="51">
        <f t="shared" si="15"/>
        <v>10800</v>
      </c>
      <c r="E30" s="52">
        <f>D30+E29</f>
        <v>179064</v>
      </c>
      <c r="F30" s="52">
        <f t="shared" si="5"/>
        <v>480000</v>
      </c>
      <c r="G30" s="52">
        <f t="shared" si="1"/>
        <v>720</v>
      </c>
      <c r="H30" s="52">
        <f>H29+G30</f>
        <v>11938</v>
      </c>
      <c r="I30" s="52">
        <f t="shared" si="20"/>
        <v>-1938</v>
      </c>
      <c r="J30" s="52">
        <f t="shared" si="6"/>
        <v>-1938</v>
      </c>
      <c r="K30" s="52">
        <f t="shared" si="7"/>
        <v>20</v>
      </c>
      <c r="N30" s="52">
        <f>G31</f>
        <v>720</v>
      </c>
      <c r="O30" s="52">
        <f t="shared" si="17"/>
        <v>10800</v>
      </c>
    </row>
    <row r="31" spans="1:15" customFormat="1" ht="26.1" customHeight="1">
      <c r="A31" s="11">
        <v>21</v>
      </c>
      <c r="B31" s="41" t="str">
        <f t="shared" si="4"/>
        <v>0</v>
      </c>
      <c r="C31" s="10">
        <v>0.5</v>
      </c>
      <c r="D31" s="51">
        <f t="shared" si="15"/>
        <v>10800</v>
      </c>
      <c r="E31" s="52">
        <f t="shared" ref="E31" si="21">D31+E30</f>
        <v>189864</v>
      </c>
      <c r="F31" s="52">
        <f>F30+av_mins</f>
        <v>504000</v>
      </c>
      <c r="G31" s="52">
        <f t="shared" si="1"/>
        <v>720</v>
      </c>
      <c r="H31" s="52">
        <f t="shared" ref="H31" si="22">H30+G31</f>
        <v>12658</v>
      </c>
      <c r="I31" s="52">
        <f t="shared" si="20"/>
        <v>-2658</v>
      </c>
      <c r="J31" s="52">
        <f t="shared" si="6"/>
        <v>-2658</v>
      </c>
      <c r="K31" s="52">
        <f t="shared" si="7"/>
        <v>21</v>
      </c>
      <c r="N31" s="52"/>
    </row>
    <row r="32" spans="1:15" customFormat="1" ht="26.1" customHeight="1" thickBot="1">
      <c r="B32" s="42">
        <f>MIN(B11:B31)</f>
        <v>222</v>
      </c>
      <c r="I32" s="51"/>
      <c r="J32" s="51"/>
      <c r="K32" s="51"/>
      <c r="N32" s="51"/>
    </row>
    <row r="33" spans="1:13" ht="26.1" customHeight="1" thickBot="1">
      <c r="A33" s="66" t="s">
        <v>16</v>
      </c>
      <c r="B33" s="66"/>
      <c r="C33" s="66"/>
      <c r="D33" s="66"/>
      <c r="E33" s="66"/>
      <c r="F33" s="66"/>
      <c r="G33" s="66"/>
      <c r="H33" s="66"/>
      <c r="J33" s="19" t="s">
        <v>27</v>
      </c>
      <c r="K33" s="20">
        <f>VLOOKUP($B$32,$B$11:$I$32,8,0)</f>
        <v>222</v>
      </c>
      <c r="L33" s="21" t="s">
        <v>30</v>
      </c>
      <c r="M33" s="22">
        <f>VLOOKUP($B$32,$B$11:$I$32,6,0)</f>
        <v>720</v>
      </c>
    </row>
    <row r="34" spans="1:13" ht="26.1" customHeight="1" thickBot="1">
      <c r="C34" s="12" t="s">
        <v>17</v>
      </c>
      <c r="D34" s="13">
        <f>F14+((I14/G15)*av_mins)</f>
        <v>508428.57142857142</v>
      </c>
      <c r="E34" s="33"/>
      <c r="F34" s="38" t="s">
        <v>17</v>
      </c>
      <c r="G34" s="35">
        <f>ROUND((K34+(K33/K35*av_mins)),0)</f>
        <v>415400</v>
      </c>
      <c r="J34" s="23" t="s">
        <v>28</v>
      </c>
      <c r="K34" s="24">
        <f>VLOOKUP($B$32,$B$11:$I$32,5,0)</f>
        <v>408000</v>
      </c>
      <c r="L34" s="25"/>
      <c r="M34" s="26"/>
    </row>
    <row r="35" spans="1:13" ht="26.1" customHeight="1" thickTop="1" thickBot="1">
      <c r="C35" s="12" t="s">
        <v>18</v>
      </c>
      <c r="D35" s="13">
        <f>E14+((I14/G15)*D15)</f>
        <v>150003</v>
      </c>
      <c r="E35" s="34"/>
      <c r="F35" s="39" t="s">
        <v>18</v>
      </c>
      <c r="G35" s="36">
        <f>ROUND((K37+(K33/K35)*K38),0)</f>
        <v>149994</v>
      </c>
      <c r="J35" s="27" t="s">
        <v>29</v>
      </c>
      <c r="K35" s="28">
        <f>VLOOKUP(M33,G11:N31,8,0)</f>
        <v>720</v>
      </c>
      <c r="L35" s="29"/>
      <c r="M35" s="30"/>
    </row>
    <row r="36" spans="1:13" ht="26.1" customHeight="1" thickTop="1" thickBot="1">
      <c r="C36" s="12" t="s">
        <v>20</v>
      </c>
      <c r="D36" s="14">
        <f>D35/D34</f>
        <v>0.29503259342511939</v>
      </c>
      <c r="E36" s="34" t="s">
        <v>12</v>
      </c>
      <c r="F36" s="40" t="s">
        <v>20</v>
      </c>
      <c r="G36" s="37">
        <f>G35/G34</f>
        <v>0.36108329321136257</v>
      </c>
    </row>
    <row r="37" spans="1:13" ht="26.1" customHeight="1">
      <c r="F37" s="53" t="s">
        <v>40</v>
      </c>
      <c r="G37" s="53">
        <f>VLOOKUP($B$32,B11:K31,10,0)</f>
        <v>17</v>
      </c>
      <c r="J37" s="19" t="s">
        <v>31</v>
      </c>
      <c r="K37" s="31">
        <f>VLOOKUP($B$32,$B$11:$I$32,4,0)</f>
        <v>146664</v>
      </c>
      <c r="L37" s="21" t="s">
        <v>32</v>
      </c>
      <c r="M37" s="22">
        <f>VLOOKUP($B$32,$B$11:$I$32,3,0)</f>
        <v>10800</v>
      </c>
    </row>
    <row r="38" spans="1:13" ht="26.1" customHeight="1" thickBot="1">
      <c r="J38" s="27" t="s">
        <v>33</v>
      </c>
      <c r="K38" s="32">
        <f>VLOOKUP(M37,D11:O31,12,0)</f>
        <v>10800</v>
      </c>
      <c r="L38" s="29"/>
      <c r="M38" s="30"/>
    </row>
    <row r="39" spans="1:13" ht="26.1" customHeight="1" thickBot="1"/>
    <row r="40" spans="1:13" ht="26.1" customHeight="1" thickTop="1" thickBot="1">
      <c r="B40" s="74" t="s">
        <v>70</v>
      </c>
      <c r="C40" s="71" t="s">
        <v>71</v>
      </c>
      <c r="D40" s="72"/>
      <c r="E40" s="72"/>
      <c r="F40" s="72"/>
      <c r="G40" s="72"/>
      <c r="H40" s="73"/>
    </row>
    <row r="41" spans="1:13" ht="26.1" customHeight="1" thickTop="1" thickBot="1">
      <c r="B41" s="75"/>
      <c r="C41" s="69" t="s">
        <v>72</v>
      </c>
      <c r="D41" s="69"/>
      <c r="E41" s="69"/>
      <c r="F41" s="69"/>
      <c r="G41" s="69"/>
      <c r="H41" s="70"/>
    </row>
    <row r="42" spans="1:13" ht="26.1" customHeight="1" thickTop="1"/>
  </sheetData>
  <mergeCells count="4">
    <mergeCell ref="A33:H33"/>
    <mergeCell ref="C41:H41"/>
    <mergeCell ref="C40:H40"/>
    <mergeCell ref="B40:B41"/>
  </mergeCells>
  <pageMargins left="0.75" right="0.75" top="1" bottom="1" header="0.5" footer="0.5"/>
  <pageSetup orientation="portrait" horizontalDpi="300" verticalDpi="300" r:id="rId1"/>
  <legacyDrawing r:id="rId2"/>
  <controls>
    <control shapeId="1025" r:id="rId3" name="CommandButton1"/>
  </control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N25"/>
  <sheetViews>
    <sheetView topLeftCell="A19" workbookViewId="0">
      <selection activeCell="F25" sqref="F25:G25"/>
    </sheetView>
  </sheetViews>
  <sheetFormatPr defaultRowHeight="15.75"/>
  <cols>
    <col min="2" max="2" width="38.375" customWidth="1"/>
    <col min="6" max="6" width="15.625" bestFit="1" customWidth="1"/>
    <col min="7" max="7" width="13.5" bestFit="1" customWidth="1"/>
    <col min="8" max="8" width="16.25" bestFit="1" customWidth="1"/>
    <col min="9" max="9" width="7.125" bestFit="1" customWidth="1"/>
    <col min="11" max="11" width="16.25" bestFit="1" customWidth="1"/>
    <col min="13" max="13" width="14.75" bestFit="1" customWidth="1"/>
  </cols>
  <sheetData>
    <row r="1" spans="2:14">
      <c r="G1" t="s">
        <v>44</v>
      </c>
      <c r="H1" s="55">
        <v>41890</v>
      </c>
    </row>
    <row r="2" spans="2:14">
      <c r="G2" s="61" t="s">
        <v>51</v>
      </c>
      <c r="H2" s="64">
        <f>H1+C16</f>
        <v>41904</v>
      </c>
    </row>
    <row r="3" spans="2:14">
      <c r="B3" t="s">
        <v>34</v>
      </c>
      <c r="C3" s="43">
        <v>1.9</v>
      </c>
      <c r="G3" s="61" t="s">
        <v>64</v>
      </c>
      <c r="H3" s="64">
        <f>H2-C18</f>
        <v>41884</v>
      </c>
    </row>
    <row r="4" spans="2:14">
      <c r="B4" t="s">
        <v>35</v>
      </c>
      <c r="C4" s="43">
        <v>15</v>
      </c>
      <c r="K4" s="58" t="s">
        <v>53</v>
      </c>
      <c r="L4" t="s">
        <v>58</v>
      </c>
      <c r="M4" t="s">
        <v>65</v>
      </c>
      <c r="N4" t="s">
        <v>59</v>
      </c>
    </row>
    <row r="5" spans="2:14">
      <c r="B5" t="s">
        <v>1</v>
      </c>
      <c r="C5" s="50">
        <v>40</v>
      </c>
      <c r="K5" s="59" t="s">
        <v>54</v>
      </c>
      <c r="L5">
        <v>1.5</v>
      </c>
      <c r="M5">
        <v>10</v>
      </c>
      <c r="N5">
        <f>L5*C$9</f>
        <v>15000</v>
      </c>
    </row>
    <row r="6" spans="2:14">
      <c r="B6" t="s">
        <v>36</v>
      </c>
      <c r="C6" s="43">
        <v>10</v>
      </c>
      <c r="K6" s="59" t="s">
        <v>55</v>
      </c>
      <c r="L6">
        <v>1</v>
      </c>
      <c r="M6">
        <v>14</v>
      </c>
      <c r="N6">
        <f t="shared" ref="N6:N8" si="0">L6*C$9</f>
        <v>10000</v>
      </c>
    </row>
    <row r="7" spans="2:14">
      <c r="B7" t="s">
        <v>8</v>
      </c>
      <c r="C7" s="43">
        <v>21</v>
      </c>
      <c r="K7" s="59" t="s">
        <v>56</v>
      </c>
      <c r="L7">
        <v>2</v>
      </c>
      <c r="M7">
        <v>15</v>
      </c>
      <c r="N7">
        <f t="shared" si="0"/>
        <v>20000</v>
      </c>
    </row>
    <row r="8" spans="2:14">
      <c r="B8" t="s">
        <v>9</v>
      </c>
      <c r="C8" s="45">
        <v>0.9</v>
      </c>
      <c r="K8" s="59" t="s">
        <v>57</v>
      </c>
      <c r="L8">
        <v>2</v>
      </c>
      <c r="M8">
        <v>18</v>
      </c>
      <c r="N8">
        <f t="shared" si="0"/>
        <v>20000</v>
      </c>
    </row>
    <row r="9" spans="2:14">
      <c r="B9" t="s">
        <v>41</v>
      </c>
      <c r="C9" s="44">
        <v>10000</v>
      </c>
      <c r="K9" s="60" t="s">
        <v>69</v>
      </c>
      <c r="L9" s="60"/>
      <c r="M9" s="60">
        <f>MAX(M5:M8)</f>
        <v>18</v>
      </c>
      <c r="N9" s="60">
        <f>MAX(N5:N8)</f>
        <v>20000</v>
      </c>
    </row>
    <row r="12" spans="2:14">
      <c r="F12" s="44"/>
    </row>
    <row r="15" spans="2:14">
      <c r="B15" s="67" t="s">
        <v>43</v>
      </c>
      <c r="C15" s="67"/>
      <c r="F15" s="68" t="s">
        <v>68</v>
      </c>
      <c r="G15" s="68"/>
      <c r="H15" s="68"/>
    </row>
    <row r="16" spans="2:14" ht="31.5">
      <c r="B16" s="54" t="s">
        <v>42</v>
      </c>
      <c r="C16">
        <v>14</v>
      </c>
      <c r="F16" s="61" t="s">
        <v>46</v>
      </c>
      <c r="G16" s="61">
        <f>Sheet1!J2</f>
        <v>1</v>
      </c>
    </row>
    <row r="17" spans="2:8">
      <c r="B17" t="s">
        <v>45</v>
      </c>
      <c r="C17">
        <v>2.5</v>
      </c>
      <c r="F17" t="s">
        <v>47</v>
      </c>
      <c r="G17" s="56">
        <f>Sheet1!G36</f>
        <v>0.36108329321136257</v>
      </c>
    </row>
    <row r="18" spans="2:8">
      <c r="B18" t="s">
        <v>52</v>
      </c>
      <c r="C18">
        <v>20</v>
      </c>
      <c r="F18" t="s">
        <v>48</v>
      </c>
      <c r="G18">
        <f>Sheet1!G37</f>
        <v>17</v>
      </c>
    </row>
    <row r="19" spans="2:8">
      <c r="E19" s="18"/>
      <c r="F19" s="61" t="s">
        <v>24</v>
      </c>
      <c r="G19" s="62">
        <f>(C4/Sheet2!G17)*Sheet2!C3</f>
        <v>78.929157166286643</v>
      </c>
    </row>
    <row r="20" spans="2:8" ht="47.25">
      <c r="F20" s="54" t="s">
        <v>50</v>
      </c>
      <c r="G20" s="57">
        <f>C9/G18</f>
        <v>588.23529411764707</v>
      </c>
    </row>
    <row r="21" spans="2:8" ht="31.5">
      <c r="F21" s="54" t="s">
        <v>49</v>
      </c>
      <c r="G21" s="57">
        <f>G20*G16</f>
        <v>588.23529411764707</v>
      </c>
      <c r="H21" s="57">
        <f>G21*MAX(L5:L8)</f>
        <v>1176.4705882352941</v>
      </c>
    </row>
    <row r="22" spans="2:8" ht="31.5">
      <c r="F22" s="54" t="s">
        <v>60</v>
      </c>
      <c r="G22">
        <f>MAX(N5:N8)/C18</f>
        <v>1000</v>
      </c>
    </row>
    <row r="23" spans="2:8" ht="31.5">
      <c r="F23" s="54" t="s">
        <v>61</v>
      </c>
      <c r="G23" s="57">
        <f>C17*H21</f>
        <v>2941.1764705882351</v>
      </c>
    </row>
    <row r="24" spans="2:8" ht="78.75">
      <c r="F24" s="54" t="s">
        <v>62</v>
      </c>
      <c r="G24">
        <f>ROUND(G23/G22,0)</f>
        <v>3</v>
      </c>
    </row>
    <row r="25" spans="2:8" ht="30">
      <c r="F25" s="63" t="s">
        <v>63</v>
      </c>
      <c r="G25" s="64">
        <f>H2-(C18-G24)</f>
        <v>41887</v>
      </c>
    </row>
  </sheetData>
  <mergeCells count="2">
    <mergeCell ref="B15:C15"/>
    <mergeCell ref="F15:H15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E6"/>
  <sheetViews>
    <sheetView workbookViewId="0">
      <selection activeCell="B6" sqref="B6"/>
    </sheetView>
  </sheetViews>
  <sheetFormatPr defaultRowHeight="15.75"/>
  <cols>
    <col min="1" max="1" width="18.75" bestFit="1" customWidth="1"/>
    <col min="4" max="4" width="18.75" bestFit="1" customWidth="1"/>
  </cols>
  <sheetData>
    <row r="1" spans="1:5">
      <c r="A1" t="s">
        <v>66</v>
      </c>
      <c r="D1" t="s">
        <v>67</v>
      </c>
    </row>
    <row r="2" spans="1:5">
      <c r="A2" t="s">
        <v>51</v>
      </c>
      <c r="B2" s="65">
        <v>41904</v>
      </c>
      <c r="D2" t="s">
        <v>51</v>
      </c>
      <c r="E2" s="65">
        <v>41904</v>
      </c>
    </row>
    <row r="3" spans="1:5">
      <c r="A3" t="s">
        <v>64</v>
      </c>
      <c r="B3" s="65">
        <v>41884</v>
      </c>
      <c r="D3" t="s">
        <v>64</v>
      </c>
      <c r="E3" s="65">
        <v>41884</v>
      </c>
    </row>
    <row r="4" spans="1:5">
      <c r="A4" s="61" t="s">
        <v>46</v>
      </c>
      <c r="B4" s="61">
        <v>1</v>
      </c>
      <c r="D4" s="61" t="s">
        <v>46</v>
      </c>
      <c r="E4" s="61">
        <v>3</v>
      </c>
    </row>
    <row r="5" spans="1:5">
      <c r="A5" t="s">
        <v>24</v>
      </c>
      <c r="B5">
        <v>78.929157166286643</v>
      </c>
      <c r="D5" t="s">
        <v>24</v>
      </c>
      <c r="E5">
        <v>104.09639999999999</v>
      </c>
    </row>
    <row r="6" spans="1:5">
      <c r="A6" t="s">
        <v>63</v>
      </c>
      <c r="B6" s="65">
        <v>41887</v>
      </c>
      <c r="D6" t="s">
        <v>63</v>
      </c>
      <c r="E6" s="65">
        <v>41895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Sheet2</vt:lpstr>
      <vt:lpstr>Sheet7</vt:lpstr>
      <vt:lpstr>achievement</vt:lpstr>
      <vt:lpstr>av_mins</vt:lpstr>
      <vt:lpstr>order_size</vt:lpstr>
      <vt:lpstr>SAM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Samrat verma</dc:creator>
  <cp:lastModifiedBy>Ravi</cp:lastModifiedBy>
  <dcterms:created xsi:type="dcterms:W3CDTF">2014-03-26T09:22:23Z</dcterms:created>
  <dcterms:modified xsi:type="dcterms:W3CDTF">2015-05-13T12:49:55Z</dcterms:modified>
</cp:coreProperties>
</file>