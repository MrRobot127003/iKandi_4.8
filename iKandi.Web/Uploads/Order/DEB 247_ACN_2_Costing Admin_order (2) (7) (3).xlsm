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31395" yWindow="795" windowWidth="20730" windowHeight="11760" tabRatio="500"/>
  </bookViews>
  <sheets>
    <sheet name="Sheet1" sheetId="1" r:id="rId1"/>
    <sheet name="Sheet2" sheetId="2" r:id="rId2"/>
    <sheet name="Sheet7" sheetId="7" r:id="rId3"/>
  </sheets>
  <definedNames>
    <definedName name="achievement">Sheet1!$D$8</definedName>
    <definedName name="av_mins">Sheet1!$D$6</definedName>
    <definedName name="order_size">Sheet1!$D$9</definedName>
    <definedName name="SAM">Sheet1!$D$3</definedName>
  </definedNames>
  <calcPr calcId="125725"/>
</workbook>
</file>

<file path=xl/calcChain.xml><?xml version="1.0" encoding="utf-8"?>
<calcChain xmlns="http://schemas.openxmlformats.org/spreadsheetml/2006/main">
  <c r="D6" i="1"/>
  <c r="H2" i="2"/>
  <c r="N16"/>
  <c r="M16"/>
  <c r="L16"/>
  <c r="K16"/>
  <c r="D11" i="1" l="1"/>
  <c r="F11"/>
  <c r="F12" s="1"/>
  <c r="F13" s="1"/>
  <c r="L44"/>
  <c r="G16" i="2" l="1"/>
  <c r="M9" l="1"/>
  <c r="C18" s="1"/>
  <c r="H3" s="1"/>
  <c r="G21" s="1"/>
  <c r="G23" s="1"/>
  <c r="G24" s="1"/>
  <c r="P8"/>
  <c r="N8"/>
  <c r="P7"/>
  <c r="N7"/>
  <c r="P6"/>
  <c r="N6"/>
  <c r="P5"/>
  <c r="H42" i="1"/>
  <c r="H41"/>
  <c r="P9" i="2" l="1"/>
  <c r="K31" i="1"/>
  <c r="K30"/>
  <c r="K29" l="1"/>
  <c r="K28"/>
  <c r="K27" l="1"/>
  <c r="K26"/>
  <c r="K25" l="1"/>
  <c r="K24"/>
  <c r="K23" l="1"/>
  <c r="K22" l="1"/>
  <c r="K21" l="1"/>
  <c r="K20"/>
  <c r="K19" l="1"/>
  <c r="K18" l="1"/>
  <c r="K17" l="1"/>
  <c r="K16"/>
  <c r="K15"/>
  <c r="K14"/>
  <c r="K13" l="1"/>
  <c r="K12" l="1"/>
  <c r="K11" l="1"/>
  <c r="D31" l="1"/>
  <c r="D29"/>
  <c r="G29" s="1"/>
  <c r="D30"/>
  <c r="D28"/>
  <c r="D27"/>
  <c r="G27" s="1"/>
  <c r="D26"/>
  <c r="D25"/>
  <c r="G25" s="1"/>
  <c r="D24"/>
  <c r="G24" s="1"/>
  <c r="D23"/>
  <c r="G23" s="1"/>
  <c r="D22"/>
  <c r="D21"/>
  <c r="D20"/>
  <c r="G20" s="1"/>
  <c r="D19"/>
  <c r="D16"/>
  <c r="G16" s="1"/>
  <c r="N15" s="1"/>
  <c r="D15"/>
  <c r="G15" s="1"/>
  <c r="D18"/>
  <c r="G18" s="1"/>
  <c r="D17"/>
  <c r="G17" s="1"/>
  <c r="D14"/>
  <c r="G14" s="1"/>
  <c r="D12"/>
  <c r="G12" s="1"/>
  <c r="O5" i="2"/>
  <c r="N5" s="1"/>
  <c r="O24"/>
  <c r="O18"/>
  <c r="O23"/>
  <c r="O17"/>
  <c r="N17" s="1"/>
  <c r="O20"/>
  <c r="G25"/>
  <c r="I17"/>
  <c r="I18" s="1"/>
  <c r="I19" s="1"/>
  <c r="I20" s="1"/>
  <c r="I21" s="1"/>
  <c r="I22" s="1"/>
  <c r="I23" s="1"/>
  <c r="I24" s="1"/>
  <c r="I25" s="1"/>
  <c r="I26" s="1"/>
  <c r="O21"/>
  <c r="O26"/>
  <c r="O19"/>
  <c r="O22"/>
  <c r="O25"/>
  <c r="O30" i="1" l="1"/>
  <c r="G31"/>
  <c r="G21"/>
  <c r="O20"/>
  <c r="O29"/>
  <c r="G30"/>
  <c r="G11"/>
  <c r="E11"/>
  <c r="O18"/>
  <c r="G19"/>
  <c r="O21"/>
  <c r="G22"/>
  <c r="O25"/>
  <c r="G26"/>
  <c r="O11"/>
  <c r="O27"/>
  <c r="G28"/>
  <c r="O10"/>
  <c r="L17" i="2"/>
  <c r="M17"/>
  <c r="K17"/>
  <c r="N27" i="1" l="1"/>
  <c r="N18"/>
  <c r="E12"/>
  <c r="N11"/>
  <c r="H11"/>
  <c r="H12" s="1"/>
  <c r="N10"/>
  <c r="N30"/>
  <c r="N21"/>
  <c r="N25"/>
  <c r="N20"/>
  <c r="N29"/>
  <c r="I11" l="1"/>
  <c r="J11" s="1"/>
  <c r="B11" s="1"/>
  <c r="L11"/>
  <c r="I12" l="1"/>
  <c r="J12" s="1"/>
  <c r="B12" s="1"/>
  <c r="L12"/>
  <c r="D13"/>
  <c r="G13" s="1"/>
  <c r="N23"/>
  <c r="O23"/>
  <c r="F14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O28"/>
  <c r="N28"/>
  <c r="O26"/>
  <c r="N26"/>
  <c r="O24"/>
  <c r="N24"/>
  <c r="O22"/>
  <c r="N22"/>
  <c r="O19"/>
  <c r="N19"/>
  <c r="O17"/>
  <c r="N17"/>
  <c r="O16"/>
  <c r="N16"/>
  <c r="O15"/>
  <c r="O13"/>
  <c r="N13"/>
  <c r="O14"/>
  <c r="N14"/>
  <c r="O12"/>
  <c r="E13" l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H13"/>
  <c r="L13" s="1"/>
  <c r="N12"/>
  <c r="H14" l="1"/>
  <c r="L14" s="1"/>
  <c r="I13"/>
  <c r="J13" s="1"/>
  <c r="B13" s="1"/>
  <c r="H15" l="1"/>
  <c r="L15" s="1"/>
  <c r="I14"/>
  <c r="H16" l="1"/>
  <c r="L16" s="1"/>
  <c r="I15"/>
  <c r="J15" s="1"/>
  <c r="B15" s="1"/>
  <c r="J14"/>
  <c r="B14" s="1"/>
  <c r="D34"/>
  <c r="D35"/>
  <c r="D36" l="1"/>
  <c r="H17"/>
  <c r="L17" s="1"/>
  <c r="I16"/>
  <c r="J16" s="1"/>
  <c r="B16" s="1"/>
  <c r="H18" l="1"/>
  <c r="L18" s="1"/>
  <c r="I17"/>
  <c r="J17" s="1"/>
  <c r="B17" s="1"/>
  <c r="H19" l="1"/>
  <c r="L19" s="1"/>
  <c r="I18"/>
  <c r="J18" s="1"/>
  <c r="B18" s="1"/>
  <c r="H20" l="1"/>
  <c r="I19"/>
  <c r="J19" s="1"/>
  <c r="B19" s="1"/>
  <c r="L20" l="1"/>
  <c r="H21"/>
  <c r="I20"/>
  <c r="J20" s="1"/>
  <c r="B20" s="1"/>
  <c r="L21" l="1"/>
  <c r="H22"/>
  <c r="L45" s="1"/>
  <c r="I21"/>
  <c r="J21" s="1"/>
  <c r="B21" s="1"/>
  <c r="H23" l="1"/>
  <c r="L22"/>
  <c r="L47"/>
  <c r="I22"/>
  <c r="J22" s="1"/>
  <c r="B22" s="1"/>
  <c r="L23" l="1"/>
  <c r="H24"/>
  <c r="L24" s="1"/>
  <c r="I23"/>
  <c r="J23" s="1"/>
  <c r="B23" s="1"/>
  <c r="H25" l="1"/>
  <c r="I24"/>
  <c r="J24" s="1"/>
  <c r="B24" s="1"/>
  <c r="H26" l="1"/>
  <c r="L26" s="1"/>
  <c r="L25"/>
  <c r="I25"/>
  <c r="J25" s="1"/>
  <c r="B25" s="1"/>
  <c r="H27" l="1"/>
  <c r="L27" s="1"/>
  <c r="I26"/>
  <c r="J26" s="1"/>
  <c r="B26" s="1"/>
  <c r="H28" l="1"/>
  <c r="L28" s="1"/>
  <c r="I27"/>
  <c r="J27" s="1"/>
  <c r="B27" s="1"/>
  <c r="H29" l="1"/>
  <c r="L29" s="1"/>
  <c r="I28"/>
  <c r="J28" s="1"/>
  <c r="B28" s="1"/>
  <c r="H30" l="1"/>
  <c r="I29"/>
  <c r="J29" s="1"/>
  <c r="B29" s="1"/>
  <c r="L30" l="1"/>
  <c r="H31"/>
  <c r="L31" s="1"/>
  <c r="I30"/>
  <c r="J30" s="1"/>
  <c r="B30" s="1"/>
  <c r="I31" l="1"/>
  <c r="J31" s="1"/>
  <c r="B31" s="1"/>
  <c r="B32" s="1"/>
  <c r="K37" l="1"/>
  <c r="M33"/>
  <c r="K35" s="1"/>
  <c r="K33"/>
  <c r="K34"/>
  <c r="M37"/>
  <c r="K38" s="1"/>
  <c r="G37"/>
  <c r="G18" i="2" s="1"/>
  <c r="G34" i="1" l="1"/>
  <c r="H34" s="1"/>
  <c r="G35"/>
  <c r="H35" l="1"/>
  <c r="G36"/>
  <c r="D2" s="1"/>
  <c r="G17" i="2" l="1"/>
  <c r="G19" s="1"/>
</calcChain>
</file>

<file path=xl/sharedStrings.xml><?xml version="1.0" encoding="utf-8"?>
<sst xmlns="http://schemas.openxmlformats.org/spreadsheetml/2006/main" count="102" uniqueCount="77">
  <si>
    <t>Sam</t>
  </si>
  <si>
    <t>OB W/S</t>
  </si>
  <si>
    <t xml:space="preserve">Hours </t>
  </si>
  <si>
    <t xml:space="preserve">Day </t>
  </si>
  <si>
    <t>Available minutes</t>
  </si>
  <si>
    <t>Earned Minutes</t>
  </si>
  <si>
    <t>Garments made</t>
  </si>
  <si>
    <t>Available Min Cost</t>
  </si>
  <si>
    <t>Barrier Days</t>
  </si>
  <si>
    <t>Achievement</t>
  </si>
  <si>
    <t>Cum Av. Minutes</t>
  </si>
  <si>
    <t>Entering on Cost Sheet</t>
  </si>
  <si>
    <t>Fed Back to Cost Sheet</t>
  </si>
  <si>
    <t>Order Size</t>
  </si>
  <si>
    <t>Balance</t>
  </si>
  <si>
    <t>Total Made</t>
  </si>
  <si>
    <t>On 4th Day balance is les than next day production.</t>
  </si>
  <si>
    <t>Available Min to make</t>
  </si>
  <si>
    <t>Earned Minutes to make</t>
  </si>
  <si>
    <t>Cumulative Earned Minutes</t>
  </si>
  <si>
    <t>Precise Eff</t>
  </si>
  <si>
    <t>Target Day Eff</t>
  </si>
  <si>
    <t>Achievement Levels</t>
  </si>
  <si>
    <t>Default</t>
  </si>
  <si>
    <t>CMT</t>
  </si>
  <si>
    <t>Comparing</t>
  </si>
  <si>
    <t>check for negative</t>
  </si>
  <si>
    <t>Minimum Balance</t>
  </si>
  <si>
    <t>Mini Cum Avl. Min</t>
  </si>
  <si>
    <t>Garment Made</t>
  </si>
  <si>
    <t>Garment Made Check</t>
  </si>
  <si>
    <t>Min Cumm  earned minute</t>
  </si>
  <si>
    <t>Earned min check</t>
  </si>
  <si>
    <t>Earned min Check</t>
  </si>
  <si>
    <t>Available Minute Cost</t>
  </si>
  <si>
    <t>SAM</t>
  </si>
  <si>
    <t>Hours</t>
  </si>
  <si>
    <t>Line</t>
  </si>
  <si>
    <t>OB Station</t>
  </si>
  <si>
    <t>Days</t>
  </si>
  <si>
    <t>No. of days required</t>
  </si>
  <si>
    <t>Order Quantity</t>
  </si>
  <si>
    <t>Asumption for initial level</t>
  </si>
  <si>
    <t>Order Date</t>
  </si>
  <si>
    <t>By Deafult load time</t>
  </si>
  <si>
    <t>No. of lines</t>
  </si>
  <si>
    <t>Efficiency</t>
  </si>
  <si>
    <t>no. of days req.</t>
  </si>
  <si>
    <t>Total per day load required</t>
  </si>
  <si>
    <t>B.I.H end Date</t>
  </si>
  <si>
    <t>Fabric Name</t>
  </si>
  <si>
    <t>Fabric A</t>
  </si>
  <si>
    <t>Fabric B</t>
  </si>
  <si>
    <t>Fabric C</t>
  </si>
  <si>
    <t>Fabric D</t>
  </si>
  <si>
    <t>Req fabric to start work</t>
  </si>
  <si>
    <t>So no. of day req. to find exact fabric inhouse to start load on machine</t>
  </si>
  <si>
    <t>Calculated initial PCD</t>
  </si>
  <si>
    <t>B.I.H Start Date</t>
  </si>
  <si>
    <t>Transaction days</t>
  </si>
  <si>
    <t>Option 1</t>
  </si>
  <si>
    <t>Option 2</t>
  </si>
  <si>
    <t>Calculation of option</t>
  </si>
  <si>
    <t>Max</t>
  </si>
  <si>
    <t>Bulk Start Date</t>
  </si>
  <si>
    <t>Bulk End Date</t>
  </si>
  <si>
    <t>Day</t>
  </si>
  <si>
    <t>Fabric flow worth garments</t>
  </si>
  <si>
    <t>PCD on basis of CMT Calculation</t>
  </si>
  <si>
    <t>Ex Factory Date</t>
  </si>
  <si>
    <t>Qty Req. in meters</t>
  </si>
  <si>
    <t>Av. In meters</t>
  </si>
  <si>
    <t>Max Transaction days</t>
  </si>
  <si>
    <t>No. of PCD Days</t>
  </si>
  <si>
    <t>Total Garments Made</t>
  </si>
  <si>
    <t>Total Cummulative Minutes</t>
  </si>
  <si>
    <t>CMT on daily basis</t>
  </si>
</sst>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_-* #,##0_-;\-* #,##0_-;_-* &quot;-&quot;??_-;_-@_-"/>
    <numFmt numFmtId="166" formatCode="[$-409]d\-mmm\-yy;@"/>
    <numFmt numFmtId="167" formatCode="[$₹-4009]\ #,##0.00"/>
    <numFmt numFmtId="168" formatCode="[$₹-4009]\ #,##0"/>
  </numFmts>
  <fonts count="1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rgb="FFFA7D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double">
        <color rgb="FF3F3F3F"/>
      </left>
      <right style="medium">
        <color auto="1"/>
      </right>
      <top style="medium">
        <color auto="1"/>
      </top>
      <bottom style="double">
        <color rgb="FF3F3F3F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rgb="FF3F3F3F"/>
      </left>
      <right style="medium">
        <color auto="1"/>
      </right>
      <top style="double">
        <color rgb="FF3F3F3F"/>
      </top>
      <bottom style="double">
        <color rgb="FF3F3F3F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double">
        <color rgb="FF3F3F3F"/>
      </left>
      <right style="medium">
        <color auto="1"/>
      </right>
      <top style="double">
        <color rgb="FF3F3F3F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3">
    <xf numFmtId="0" fontId="0" fillId="0" borderId="0"/>
    <xf numFmtId="9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11" borderId="10" applyNumberFormat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2" fillId="16" borderId="20" applyNumberFormat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4" fillId="17" borderId="20" applyNumberFormat="0" applyAlignment="0" applyProtection="0"/>
  </cellStyleXfs>
  <cellXfs count="92">
    <xf numFmtId="0" fontId="0" fillId="0" borderId="0" xfId="0"/>
    <xf numFmtId="0" fontId="0" fillId="0" borderId="0" xfId="0" applyAlignment="1">
      <alignment horizontal="center" vertical="center"/>
    </xf>
    <xf numFmtId="9" fontId="0" fillId="0" borderId="0" xfId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9" fontId="0" fillId="2" borderId="1" xfId="1" applyFont="1" applyFill="1" applyBorder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9" fontId="0" fillId="4" borderId="0" xfId="1" applyFont="1" applyFill="1" applyAlignment="1">
      <alignment horizontal="center" vertical="center"/>
    </xf>
    <xf numFmtId="9" fontId="0" fillId="5" borderId="1" xfId="1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5" fontId="0" fillId="4" borderId="1" xfId="2" applyNumberFormat="1" applyFont="1" applyFill="1" applyBorder="1" applyAlignment="1">
      <alignment horizontal="center" vertical="center"/>
    </xf>
    <xf numFmtId="9" fontId="0" fillId="4" borderId="1" xfId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165" fontId="0" fillId="0" borderId="12" xfId="2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5" fontId="5" fillId="11" borderId="14" xfId="7" applyNumberFormat="1" applyBorder="1" applyAlignment="1">
      <alignment horizontal="center" vertical="center"/>
    </xf>
    <xf numFmtId="165" fontId="5" fillId="11" borderId="16" xfId="7" applyNumberFormat="1" applyBorder="1" applyAlignment="1">
      <alignment horizontal="center" vertical="center"/>
    </xf>
    <xf numFmtId="9" fontId="5" fillId="11" borderId="18" xfId="7" applyNumberFormat="1" applyBorder="1" applyAlignment="1">
      <alignment horizontal="center" vertical="center"/>
    </xf>
    <xf numFmtId="0" fontId="6" fillId="2" borderId="13" xfId="8" applyFill="1" applyBorder="1" applyAlignment="1">
      <alignment horizontal="center" vertical="center"/>
    </xf>
    <xf numFmtId="0" fontId="6" fillId="2" borderId="15" xfId="8" applyFill="1" applyBorder="1" applyAlignment="1">
      <alignment horizontal="center" vertical="center"/>
    </xf>
    <xf numFmtId="0" fontId="6" fillId="2" borderId="17" xfId="8" applyFill="1" applyBorder="1" applyAlignment="1">
      <alignment horizontal="center" vertical="center"/>
    </xf>
    <xf numFmtId="0" fontId="7" fillId="0" borderId="0" xfId="9" applyAlignment="1">
      <alignment horizontal="center" vertical="center"/>
    </xf>
    <xf numFmtId="0" fontId="7" fillId="0" borderId="0" xfId="9" applyFill="1" applyBorder="1" applyAlignment="1">
      <alignment horizontal="center" vertical="center"/>
    </xf>
    <xf numFmtId="0" fontId="0" fillId="0" borderId="12" xfId="0" applyBorder="1"/>
    <xf numFmtId="0" fontId="6" fillId="12" borderId="19" xfId="8" applyFill="1" applyBorder="1" applyAlignment="1">
      <alignment horizontal="center" vertical="center"/>
    </xf>
    <xf numFmtId="0" fontId="6" fillId="12" borderId="11" xfId="8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15" borderId="0" xfId="12" applyFont="1" applyAlignment="1">
      <alignment horizontal="center" vertical="center"/>
    </xf>
    <xf numFmtId="166" fontId="0" fillId="0" borderId="0" xfId="0" applyNumberFormat="1"/>
    <xf numFmtId="0" fontId="0" fillId="0" borderId="0" xfId="0" applyAlignment="1">
      <alignment vertical="center" wrapText="1"/>
    </xf>
    <xf numFmtId="15" fontId="0" fillId="0" borderId="0" xfId="0" applyNumberFormat="1" applyAlignment="1">
      <alignment vertical="center" wrapText="1"/>
    </xf>
    <xf numFmtId="0" fontId="12" fillId="16" borderId="20" xfId="13" applyAlignment="1">
      <alignment vertical="center" wrapText="1"/>
    </xf>
    <xf numFmtId="15" fontId="12" fillId="16" borderId="20" xfId="13" applyNumberFormat="1" applyAlignment="1">
      <alignment vertical="center" wrapText="1"/>
    </xf>
    <xf numFmtId="167" fontId="0" fillId="2" borderId="1" xfId="0" applyNumberFormat="1" applyFill="1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11" fillId="15" borderId="0" xfId="12" applyAlignment="1">
      <alignment vertical="center" wrapText="1"/>
    </xf>
    <xf numFmtId="0" fontId="0" fillId="12" borderId="1" xfId="0" applyFill="1" applyBorder="1" applyAlignment="1">
      <alignment vertical="center" wrapText="1"/>
    </xf>
    <xf numFmtId="0" fontId="10" fillId="14" borderId="0" xfId="11" applyAlignment="1">
      <alignment vertical="center" wrapText="1"/>
    </xf>
    <xf numFmtId="165" fontId="0" fillId="0" borderId="0" xfId="2" applyNumberFormat="1" applyFont="1" applyAlignment="1">
      <alignment vertical="center" wrapText="1"/>
    </xf>
    <xf numFmtId="9" fontId="0" fillId="2" borderId="1" xfId="0" applyNumberFormat="1" applyFill="1" applyBorder="1" applyAlignment="1">
      <alignment vertical="center" wrapText="1"/>
    </xf>
    <xf numFmtId="165" fontId="0" fillId="0" borderId="1" xfId="2" applyNumberFormat="1" applyFont="1" applyBorder="1" applyAlignment="1">
      <alignment vertical="center" wrapText="1"/>
    </xf>
    <xf numFmtId="0" fontId="9" fillId="13" borderId="1" xfId="10" applyBorder="1" applyAlignment="1">
      <alignment vertical="center" wrapText="1"/>
    </xf>
    <xf numFmtId="165" fontId="9" fillId="13" borderId="1" xfId="2" applyNumberFormat="1" applyFont="1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9" fontId="0" fillId="0" borderId="0" xfId="0" applyNumberFormat="1" applyAlignment="1">
      <alignment vertical="center" wrapText="1"/>
    </xf>
    <xf numFmtId="168" fontId="12" fillId="16" borderId="20" xfId="13" applyNumberFormat="1" applyAlignment="1">
      <alignment vertical="center" wrapText="1"/>
    </xf>
    <xf numFmtId="1" fontId="0" fillId="0" borderId="0" xfId="0" applyNumberFormat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15" fontId="0" fillId="0" borderId="5" xfId="0" applyNumberFormat="1" applyBorder="1" applyAlignment="1">
      <alignment vertical="center" wrapText="1"/>
    </xf>
    <xf numFmtId="15" fontId="0" fillId="0" borderId="7" xfId="0" applyNumberFormat="1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0" xfId="0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4" fillId="17" borderId="21" xfId="52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2" fillId="16" borderId="22" xfId="13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2" fillId="16" borderId="23" xfId="13" applyBorder="1" applyAlignment="1">
      <alignment horizontal="center" vertical="center"/>
    </xf>
    <xf numFmtId="0" fontId="11" fillId="15" borderId="1" xfId="12" applyBorder="1" applyAlignment="1">
      <alignment horizontal="center" vertical="center"/>
    </xf>
    <xf numFmtId="1" fontId="11" fillId="15" borderId="1" xfId="12" applyNumberFormat="1" applyBorder="1" applyAlignment="1">
      <alignment horizontal="center" vertical="center"/>
    </xf>
    <xf numFmtId="1" fontId="16" fillId="16" borderId="25" xfId="13" applyNumberFormat="1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14" borderId="0" xfId="11" applyAlignment="1">
      <alignment vertical="center" wrapText="1"/>
    </xf>
    <xf numFmtId="0" fontId="0" fillId="0" borderId="0" xfId="0" applyAlignment="1">
      <alignment vertical="center" wrapText="1"/>
    </xf>
  </cellXfs>
  <cellStyles count="53">
    <cellStyle name="Bad" xfId="11" builtinId="27"/>
    <cellStyle name="Calculation" xfId="13" builtinId="22"/>
    <cellStyle name="Check Cell" xfId="7" builtinId="23"/>
    <cellStyle name="Comma" xfId="2" builtinId="3"/>
    <cellStyle name="Explanatory Text" xfId="9" builtinId="53"/>
    <cellStyle name="Followed Hyperlink" xfId="4" builtinId="9" hidden="1"/>
    <cellStyle name="Followed Hyperlink" xfId="6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Good" xfId="10" builtinId="26"/>
    <cellStyle name="Hyperlink" xfId="3" builtinId="8" hidden="1"/>
    <cellStyle name="Hyperlink" xfId="5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Input" xfId="52" builtinId="20"/>
    <cellStyle name="Neutral" xfId="12" builtinId="28"/>
    <cellStyle name="Normal" xfId="0" builtinId="0"/>
    <cellStyle name="Percent" xfId="1" builtinId="5"/>
    <cellStyle name="Warning Text" xfId="8" builtinId="1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1901372</xdr:colOff>
      <xdr:row>3</xdr:row>
      <xdr:rowOff>323850</xdr:rowOff>
    </xdr:from>
    <xdr:to>
      <xdr:col>11</xdr:col>
      <xdr:colOff>363766</xdr:colOff>
      <xdr:row>6</xdr:row>
      <xdr:rowOff>83457</xdr:rowOff>
    </xdr:to>
    <xdr:pic>
      <xdr:nvPicPr>
        <xdr:cNvPr id="1025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40729" y="1303564"/>
          <a:ext cx="2299608" cy="739322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O47"/>
  <sheetViews>
    <sheetView tabSelected="1" zoomScale="52" zoomScaleNormal="52" zoomScalePageLayoutView="70" workbookViewId="0">
      <selection activeCell="E5" sqref="E5"/>
    </sheetView>
  </sheetViews>
  <sheetFormatPr defaultColWidth="25.125" defaultRowHeight="26.1" customHeight="1"/>
  <cols>
    <col min="1" max="1" width="9.125" style="1" customWidth="1"/>
    <col min="2" max="2" width="18.625" style="17" customWidth="1"/>
    <col min="3" max="16384" width="25.125" style="1"/>
  </cols>
  <sheetData>
    <row r="1" spans="1:15" ht="26.1" customHeight="1" thickBot="1">
      <c r="C1" s="6" t="s">
        <v>7</v>
      </c>
      <c r="D1" s="54">
        <v>1.85</v>
      </c>
      <c r="H1" s="6" t="s">
        <v>22</v>
      </c>
      <c r="J1" s="44" t="s">
        <v>37</v>
      </c>
      <c r="K1" s="45" t="s">
        <v>38</v>
      </c>
    </row>
    <row r="2" spans="1:15" ht="26.1" customHeight="1" thickBot="1">
      <c r="C2" s="1" t="s">
        <v>24</v>
      </c>
      <c r="D2" s="8">
        <f>(SAM/G36)*D1</f>
        <v>353.55966666666666</v>
      </c>
      <c r="E2" s="3"/>
      <c r="F2" s="3" t="s">
        <v>12</v>
      </c>
      <c r="H2" s="7">
        <v>0.4</v>
      </c>
      <c r="J2" s="43">
        <v>9</v>
      </c>
      <c r="K2" s="57">
        <v>40</v>
      </c>
    </row>
    <row r="3" spans="1:15" ht="26.1" customHeight="1">
      <c r="C3" s="1" t="s">
        <v>0</v>
      </c>
      <c r="D3" s="55">
        <v>20</v>
      </c>
      <c r="F3" s="1" t="s">
        <v>11</v>
      </c>
      <c r="H3" s="7">
        <v>0.5</v>
      </c>
    </row>
    <row r="4" spans="1:15" ht="26.1" customHeight="1">
      <c r="C4" s="1" t="s">
        <v>1</v>
      </c>
      <c r="D4" s="42">
        <v>40</v>
      </c>
      <c r="F4" s="1" t="s">
        <v>11</v>
      </c>
      <c r="H4" s="7">
        <v>0.6</v>
      </c>
    </row>
    <row r="5" spans="1:15" ht="26.1" customHeight="1">
      <c r="C5" s="6" t="s">
        <v>2</v>
      </c>
      <c r="D5" s="55">
        <v>10</v>
      </c>
      <c r="H5" s="7">
        <v>0.7</v>
      </c>
      <c r="I5" s="1" t="s">
        <v>23</v>
      </c>
    </row>
    <row r="6" spans="1:15" ht="26.1" customHeight="1">
      <c r="C6" s="1" t="s">
        <v>4</v>
      </c>
      <c r="D6" s="1">
        <f>D5*D4*60</f>
        <v>24000</v>
      </c>
      <c r="H6" s="7">
        <v>0.8</v>
      </c>
    </row>
    <row r="7" spans="1:15" ht="25.5" customHeight="1">
      <c r="C7" s="6" t="s">
        <v>8</v>
      </c>
      <c r="D7" s="55">
        <v>21</v>
      </c>
      <c r="H7" s="7">
        <v>0.9</v>
      </c>
    </row>
    <row r="8" spans="1:15" ht="26.1" customHeight="1">
      <c r="C8" s="6" t="s">
        <v>9</v>
      </c>
      <c r="D8" s="60">
        <v>0.9</v>
      </c>
      <c r="E8" s="9"/>
      <c r="F8" s="2"/>
    </row>
    <row r="9" spans="1:15" ht="26.1" customHeight="1">
      <c r="C9" s="1" t="s">
        <v>13</v>
      </c>
      <c r="D9" s="61">
        <v>150</v>
      </c>
      <c r="E9" s="4"/>
      <c r="F9" s="1" t="s">
        <v>11</v>
      </c>
    </row>
    <row r="10" spans="1:15" ht="57.95" customHeight="1">
      <c r="A10" s="11" t="s">
        <v>3</v>
      </c>
      <c r="B10" s="40" t="s">
        <v>26</v>
      </c>
      <c r="C10" s="11" t="s">
        <v>21</v>
      </c>
      <c r="D10" s="1" t="s">
        <v>5</v>
      </c>
      <c r="E10" s="5" t="s">
        <v>19</v>
      </c>
      <c r="F10" s="1" t="s">
        <v>10</v>
      </c>
      <c r="G10" s="1" t="s">
        <v>6</v>
      </c>
      <c r="H10" s="1" t="s">
        <v>15</v>
      </c>
      <c r="I10" s="1" t="s">
        <v>14</v>
      </c>
      <c r="J10" s="16" t="s">
        <v>25</v>
      </c>
      <c r="K10" s="47" t="s">
        <v>39</v>
      </c>
      <c r="L10" s="85" t="s">
        <v>76</v>
      </c>
      <c r="N10" s="17">
        <f>G11</f>
        <v>108</v>
      </c>
      <c r="O10" s="1">
        <f>D11</f>
        <v>2160</v>
      </c>
    </row>
    <row r="11" spans="1:15" ht="26.1" customHeight="1">
      <c r="A11" s="11">
        <v>1</v>
      </c>
      <c r="B11" s="40">
        <f>IF(J11&gt;0,I11,"0")</f>
        <v>42</v>
      </c>
      <c r="C11" s="10">
        <v>0.1</v>
      </c>
      <c r="D11" s="1">
        <f>C11*av_mins*achievement</f>
        <v>2160</v>
      </c>
      <c r="E11" s="1">
        <f>D11</f>
        <v>2160</v>
      </c>
      <c r="F11" s="1">
        <f>av_mins</f>
        <v>24000</v>
      </c>
      <c r="G11" s="1">
        <f t="shared" ref="G11:G31" si="0">ROUND((D11/SAM),0)</f>
        <v>108</v>
      </c>
      <c r="H11" s="1">
        <f>G11</f>
        <v>108</v>
      </c>
      <c r="I11" s="1">
        <f>order_size-H11</f>
        <v>42</v>
      </c>
      <c r="J11" s="1">
        <f>I11</f>
        <v>42</v>
      </c>
      <c r="K11" s="1">
        <f>A11</f>
        <v>1</v>
      </c>
      <c r="L11" s="86">
        <f>(F11*$D$1)/H11</f>
        <v>411.11111111111109</v>
      </c>
      <c r="N11" s="17">
        <f t="shared" ref="N11:N23" si="1">G12</f>
        <v>216</v>
      </c>
      <c r="O11" s="17">
        <f t="shared" ref="O11:O23" si="2">D12</f>
        <v>4320</v>
      </c>
    </row>
    <row r="12" spans="1:15" ht="26.1" customHeight="1">
      <c r="A12" s="11">
        <v>2</v>
      </c>
      <c r="B12" s="40" t="str">
        <f t="shared" ref="B12:B31" si="3">IF(J12&gt;0,I12,"0")</f>
        <v>0</v>
      </c>
      <c r="C12" s="10">
        <v>0.2</v>
      </c>
      <c r="D12" s="1">
        <f t="shared" ref="D12:D16" si="4">C12*av_mins*achievement</f>
        <v>4320</v>
      </c>
      <c r="E12" s="1">
        <f>D12+E11</f>
        <v>6480</v>
      </c>
      <c r="F12" s="1">
        <f>F11+av_mins</f>
        <v>48000</v>
      </c>
      <c r="G12" s="15">
        <f>ROUND((D12/SAM),0)</f>
        <v>216</v>
      </c>
      <c r="H12" s="1">
        <f>H11+G12</f>
        <v>324</v>
      </c>
      <c r="I12" s="1">
        <f>order_size-H12</f>
        <v>-174</v>
      </c>
      <c r="J12" s="16">
        <f t="shared" ref="J12:J31" si="5">I12</f>
        <v>-174</v>
      </c>
      <c r="K12" s="47">
        <f t="shared" ref="K12:K31" si="6">A12</f>
        <v>2</v>
      </c>
      <c r="L12" s="86">
        <f t="shared" ref="L12:L31" si="7">(F12*$D$1)/H12</f>
        <v>274.07407407407408</v>
      </c>
      <c r="N12" s="17">
        <f t="shared" si="1"/>
        <v>324</v>
      </c>
      <c r="O12" s="17">
        <f t="shared" si="2"/>
        <v>6480</v>
      </c>
    </row>
    <row r="13" spans="1:15" ht="26.1" customHeight="1">
      <c r="A13" s="11">
        <v>3</v>
      </c>
      <c r="B13" s="40" t="str">
        <f t="shared" si="3"/>
        <v>0</v>
      </c>
      <c r="C13" s="10">
        <v>0.3</v>
      </c>
      <c r="D13" s="1">
        <f t="shared" si="4"/>
        <v>6480</v>
      </c>
      <c r="E13" s="1">
        <f>D13+E12</f>
        <v>12960</v>
      </c>
      <c r="F13" s="1">
        <f>F12+av_mins</f>
        <v>72000</v>
      </c>
      <c r="G13" s="15">
        <f t="shared" si="0"/>
        <v>324</v>
      </c>
      <c r="H13" s="1">
        <f>H12+G13</f>
        <v>648</v>
      </c>
      <c r="I13" s="1">
        <f>order_size-H13</f>
        <v>-498</v>
      </c>
      <c r="J13" s="16">
        <f t="shared" si="5"/>
        <v>-498</v>
      </c>
      <c r="K13" s="47">
        <f t="shared" si="6"/>
        <v>3</v>
      </c>
      <c r="L13" s="86">
        <f t="shared" si="7"/>
        <v>205.55555555555554</v>
      </c>
      <c r="N13" s="17">
        <f t="shared" si="1"/>
        <v>356</v>
      </c>
      <c r="O13" s="17">
        <f t="shared" si="2"/>
        <v>7128</v>
      </c>
    </row>
    <row r="14" spans="1:15" ht="26.1" customHeight="1">
      <c r="A14" s="11">
        <v>4</v>
      </c>
      <c r="B14" s="40" t="str">
        <f>IF(J14&gt;0,I14,"0")</f>
        <v>0</v>
      </c>
      <c r="C14" s="10">
        <v>0.33</v>
      </c>
      <c r="D14" s="1">
        <f t="shared" si="4"/>
        <v>7128</v>
      </c>
      <c r="E14" s="1">
        <f>D14+E13</f>
        <v>20088</v>
      </c>
      <c r="F14" s="1">
        <f t="shared" ref="F14:F29" si="8">F13+av_mins</f>
        <v>96000</v>
      </c>
      <c r="G14" s="15">
        <f>ROUND((D14/SAM),0)</f>
        <v>356</v>
      </c>
      <c r="H14" s="1">
        <f>H13+G14</f>
        <v>1004</v>
      </c>
      <c r="I14" s="1">
        <f>order_size-H14</f>
        <v>-854</v>
      </c>
      <c r="J14" s="16">
        <f t="shared" si="5"/>
        <v>-854</v>
      </c>
      <c r="K14" s="47">
        <f t="shared" si="6"/>
        <v>4</v>
      </c>
      <c r="L14" s="86">
        <f t="shared" si="7"/>
        <v>176.89243027888446</v>
      </c>
      <c r="N14" s="17">
        <f t="shared" si="1"/>
        <v>378</v>
      </c>
      <c r="O14" s="17">
        <f t="shared" si="2"/>
        <v>7560</v>
      </c>
    </row>
    <row r="15" spans="1:15" ht="26.1" customHeight="1">
      <c r="A15" s="11">
        <v>5</v>
      </c>
      <c r="B15" s="40" t="str">
        <f t="shared" si="3"/>
        <v>0</v>
      </c>
      <c r="C15" s="10">
        <v>0.35</v>
      </c>
      <c r="D15" s="1">
        <f t="shared" si="4"/>
        <v>7560</v>
      </c>
      <c r="E15" s="1">
        <f>D15+E14</f>
        <v>27648</v>
      </c>
      <c r="F15" s="1">
        <f t="shared" si="8"/>
        <v>120000</v>
      </c>
      <c r="G15" s="15">
        <f t="shared" si="0"/>
        <v>378</v>
      </c>
      <c r="H15" s="1">
        <f>H14+G15</f>
        <v>1382</v>
      </c>
      <c r="I15" s="1">
        <f>order_size-H15</f>
        <v>-1232</v>
      </c>
      <c r="J15" s="16">
        <f t="shared" si="5"/>
        <v>-1232</v>
      </c>
      <c r="K15" s="47">
        <f t="shared" si="6"/>
        <v>5</v>
      </c>
      <c r="L15" s="86">
        <f t="shared" si="7"/>
        <v>160.6367583212735</v>
      </c>
      <c r="N15" s="17">
        <f>G16</f>
        <v>400</v>
      </c>
      <c r="O15" s="17">
        <f t="shared" si="2"/>
        <v>7992</v>
      </c>
    </row>
    <row r="16" spans="1:15" ht="26.1" customHeight="1">
      <c r="A16" s="11">
        <v>6</v>
      </c>
      <c r="B16" s="40" t="str">
        <f t="shared" si="3"/>
        <v>0</v>
      </c>
      <c r="C16" s="10">
        <v>0.37</v>
      </c>
      <c r="D16" s="1">
        <f t="shared" si="4"/>
        <v>7992</v>
      </c>
      <c r="E16" s="1">
        <f>D16+E15</f>
        <v>35640</v>
      </c>
      <c r="F16" s="1">
        <f t="shared" si="8"/>
        <v>144000</v>
      </c>
      <c r="G16" s="15">
        <f t="shared" si="0"/>
        <v>400</v>
      </c>
      <c r="H16" s="1">
        <f>H15+G16</f>
        <v>1782</v>
      </c>
      <c r="I16" s="1">
        <f t="shared" ref="I16:I23" si="9">order_size-H16</f>
        <v>-1632</v>
      </c>
      <c r="J16" s="16">
        <f t="shared" si="5"/>
        <v>-1632</v>
      </c>
      <c r="K16" s="47">
        <f t="shared" si="6"/>
        <v>6</v>
      </c>
      <c r="L16" s="86">
        <f t="shared" si="7"/>
        <v>149.49494949494951</v>
      </c>
      <c r="N16" s="17">
        <f t="shared" si="1"/>
        <v>421</v>
      </c>
      <c r="O16" s="17">
        <f t="shared" si="2"/>
        <v>8424</v>
      </c>
    </row>
    <row r="17" spans="1:15" s="15" customFormat="1" ht="26.1" customHeight="1">
      <c r="A17" s="11">
        <v>7</v>
      </c>
      <c r="B17" s="40" t="str">
        <f t="shared" si="3"/>
        <v>0</v>
      </c>
      <c r="C17" s="10">
        <v>0.39</v>
      </c>
      <c r="D17" s="15">
        <f>C17*av_mins*achievement</f>
        <v>8424</v>
      </c>
      <c r="E17" s="15">
        <f t="shared" ref="E17:E23" si="10">D17+E16</f>
        <v>44064</v>
      </c>
      <c r="F17" s="15">
        <f t="shared" si="8"/>
        <v>168000</v>
      </c>
      <c r="G17" s="15">
        <f t="shared" si="0"/>
        <v>421</v>
      </c>
      <c r="H17" s="15">
        <f t="shared" ref="H17:H20" si="11">H16+G17</f>
        <v>2203</v>
      </c>
      <c r="I17" s="15">
        <f t="shared" si="9"/>
        <v>-2053</v>
      </c>
      <c r="J17" s="16">
        <f t="shared" si="5"/>
        <v>-2053</v>
      </c>
      <c r="K17" s="47">
        <f t="shared" si="6"/>
        <v>7</v>
      </c>
      <c r="L17" s="86">
        <f t="shared" si="7"/>
        <v>141.08034498411257</v>
      </c>
      <c r="N17" s="17">
        <f t="shared" si="1"/>
        <v>443</v>
      </c>
      <c r="O17" s="17">
        <f t="shared" si="2"/>
        <v>8856</v>
      </c>
    </row>
    <row r="18" spans="1:15" s="15" customFormat="1" ht="26.1" customHeight="1">
      <c r="A18" s="11">
        <v>8</v>
      </c>
      <c r="B18" s="40" t="str">
        <f t="shared" si="3"/>
        <v>0</v>
      </c>
      <c r="C18" s="10">
        <v>0.41</v>
      </c>
      <c r="D18" s="15">
        <f>C18*av_mins*achievement</f>
        <v>8856</v>
      </c>
      <c r="E18" s="15">
        <f t="shared" si="10"/>
        <v>52920</v>
      </c>
      <c r="F18" s="15">
        <f t="shared" si="8"/>
        <v>192000</v>
      </c>
      <c r="G18" s="15">
        <f t="shared" si="0"/>
        <v>443</v>
      </c>
      <c r="H18" s="15">
        <f t="shared" si="11"/>
        <v>2646</v>
      </c>
      <c r="I18" s="15">
        <f t="shared" si="9"/>
        <v>-2496</v>
      </c>
      <c r="J18" s="16">
        <f t="shared" si="5"/>
        <v>-2496</v>
      </c>
      <c r="K18" s="47">
        <f t="shared" si="6"/>
        <v>8</v>
      </c>
      <c r="L18" s="86">
        <f t="shared" si="7"/>
        <v>134.24036281179139</v>
      </c>
      <c r="N18" s="17">
        <f t="shared" si="1"/>
        <v>464</v>
      </c>
      <c r="O18" s="17">
        <f t="shared" si="2"/>
        <v>9288</v>
      </c>
    </row>
    <row r="19" spans="1:15" ht="26.1" customHeight="1">
      <c r="A19" s="11">
        <v>9</v>
      </c>
      <c r="B19" s="40" t="str">
        <f t="shared" si="3"/>
        <v>0</v>
      </c>
      <c r="C19" s="10">
        <v>0.43</v>
      </c>
      <c r="D19" s="15">
        <f t="shared" ref="D19:D31" si="12">C19*av_mins*achievement</f>
        <v>9288</v>
      </c>
      <c r="E19" s="15">
        <f t="shared" si="10"/>
        <v>62208</v>
      </c>
      <c r="F19" s="15">
        <f t="shared" si="8"/>
        <v>216000</v>
      </c>
      <c r="G19" s="15">
        <f t="shared" si="0"/>
        <v>464</v>
      </c>
      <c r="H19" s="15">
        <f t="shared" si="11"/>
        <v>3110</v>
      </c>
      <c r="I19" s="15">
        <f t="shared" si="9"/>
        <v>-2960</v>
      </c>
      <c r="J19" s="16">
        <f t="shared" si="5"/>
        <v>-2960</v>
      </c>
      <c r="K19" s="47">
        <f t="shared" si="6"/>
        <v>9</v>
      </c>
      <c r="L19" s="86">
        <f t="shared" si="7"/>
        <v>128.48874598070739</v>
      </c>
      <c r="N19" s="17">
        <f t="shared" si="1"/>
        <v>486</v>
      </c>
      <c r="O19" s="17">
        <f t="shared" si="2"/>
        <v>9720</v>
      </c>
    </row>
    <row r="20" spans="1:15" s="15" customFormat="1" ht="26.1" customHeight="1">
      <c r="A20" s="11">
        <v>10</v>
      </c>
      <c r="B20" s="40" t="str">
        <f t="shared" si="3"/>
        <v>0</v>
      </c>
      <c r="C20" s="10">
        <v>0.45</v>
      </c>
      <c r="D20" s="15">
        <f t="shared" si="12"/>
        <v>9720</v>
      </c>
      <c r="E20" s="15">
        <f t="shared" si="10"/>
        <v>71928</v>
      </c>
      <c r="F20" s="15">
        <f t="shared" si="8"/>
        <v>240000</v>
      </c>
      <c r="G20" s="15">
        <f t="shared" si="0"/>
        <v>486</v>
      </c>
      <c r="H20" s="15">
        <f t="shared" si="11"/>
        <v>3596</v>
      </c>
      <c r="I20" s="15">
        <f t="shared" si="9"/>
        <v>-3446</v>
      </c>
      <c r="J20" s="16">
        <f t="shared" si="5"/>
        <v>-3446</v>
      </c>
      <c r="K20" s="47">
        <f t="shared" si="6"/>
        <v>10</v>
      </c>
      <c r="L20" s="86">
        <f t="shared" si="7"/>
        <v>123.47052280311458</v>
      </c>
      <c r="N20" s="17">
        <f t="shared" si="1"/>
        <v>508</v>
      </c>
      <c r="O20" s="17">
        <f t="shared" si="2"/>
        <v>10152</v>
      </c>
    </row>
    <row r="21" spans="1:15" s="15" customFormat="1" ht="26.1" customHeight="1">
      <c r="A21" s="11">
        <v>11</v>
      </c>
      <c r="B21" s="40" t="str">
        <f t="shared" si="3"/>
        <v>0</v>
      </c>
      <c r="C21" s="10">
        <v>0.47</v>
      </c>
      <c r="D21" s="15">
        <f t="shared" si="12"/>
        <v>10152</v>
      </c>
      <c r="E21" s="15">
        <f t="shared" si="10"/>
        <v>82080</v>
      </c>
      <c r="F21" s="15">
        <f t="shared" si="8"/>
        <v>264000</v>
      </c>
      <c r="G21" s="15">
        <f t="shared" si="0"/>
        <v>508</v>
      </c>
      <c r="H21" s="15">
        <f>H20+G21</f>
        <v>4104</v>
      </c>
      <c r="I21" s="15">
        <f t="shared" si="9"/>
        <v>-3954</v>
      </c>
      <c r="J21" s="16">
        <f t="shared" si="5"/>
        <v>-3954</v>
      </c>
      <c r="K21" s="47">
        <f t="shared" si="6"/>
        <v>11</v>
      </c>
      <c r="L21" s="86">
        <f t="shared" si="7"/>
        <v>119.00584795321637</v>
      </c>
      <c r="N21" s="17">
        <f t="shared" si="1"/>
        <v>529</v>
      </c>
      <c r="O21" s="17">
        <f t="shared" si="2"/>
        <v>10584</v>
      </c>
    </row>
    <row r="22" spans="1:15" s="15" customFormat="1" ht="26.1" customHeight="1">
      <c r="A22" s="11">
        <v>12</v>
      </c>
      <c r="B22" s="40" t="str">
        <f t="shared" si="3"/>
        <v>0</v>
      </c>
      <c r="C22" s="10">
        <v>0.49</v>
      </c>
      <c r="D22" s="15">
        <f t="shared" si="12"/>
        <v>10584</v>
      </c>
      <c r="E22" s="15">
        <f t="shared" si="10"/>
        <v>92664</v>
      </c>
      <c r="F22" s="15">
        <f t="shared" si="8"/>
        <v>288000</v>
      </c>
      <c r="G22" s="15">
        <f t="shared" si="0"/>
        <v>529</v>
      </c>
      <c r="H22" s="15">
        <f>H21+G22</f>
        <v>4633</v>
      </c>
      <c r="I22" s="15">
        <f t="shared" si="9"/>
        <v>-4483</v>
      </c>
      <c r="J22" s="16">
        <f t="shared" si="5"/>
        <v>-4483</v>
      </c>
      <c r="K22" s="47">
        <f t="shared" si="6"/>
        <v>12</v>
      </c>
      <c r="L22" s="86">
        <f t="shared" si="7"/>
        <v>115.00107921433197</v>
      </c>
      <c r="N22" s="17">
        <f t="shared" si="1"/>
        <v>540</v>
      </c>
      <c r="O22" s="17">
        <f t="shared" si="2"/>
        <v>10800</v>
      </c>
    </row>
    <row r="23" spans="1:15" s="15" customFormat="1" ht="26.1" customHeight="1">
      <c r="A23" s="11">
        <v>13</v>
      </c>
      <c r="B23" s="40" t="str">
        <f t="shared" si="3"/>
        <v>0</v>
      </c>
      <c r="C23" s="10">
        <v>0.5</v>
      </c>
      <c r="D23" s="15">
        <f t="shared" si="12"/>
        <v>10800</v>
      </c>
      <c r="E23" s="15">
        <f t="shared" si="10"/>
        <v>103464</v>
      </c>
      <c r="F23" s="15">
        <f t="shared" si="8"/>
        <v>312000</v>
      </c>
      <c r="G23" s="15">
        <f t="shared" si="0"/>
        <v>540</v>
      </c>
      <c r="H23" s="15">
        <f>H22+G23</f>
        <v>5173</v>
      </c>
      <c r="I23" s="15">
        <f t="shared" si="9"/>
        <v>-5023</v>
      </c>
      <c r="J23" s="16">
        <f t="shared" si="5"/>
        <v>-5023</v>
      </c>
      <c r="K23" s="47">
        <f t="shared" si="6"/>
        <v>13</v>
      </c>
      <c r="L23" s="86">
        <f t="shared" si="7"/>
        <v>111.57935433984149</v>
      </c>
      <c r="N23" s="17">
        <f t="shared" si="1"/>
        <v>540</v>
      </c>
      <c r="O23" s="17">
        <f t="shared" si="2"/>
        <v>10800</v>
      </c>
    </row>
    <row r="24" spans="1:15" s="15" customFormat="1" ht="26.1" customHeight="1">
      <c r="A24" s="11">
        <v>14</v>
      </c>
      <c r="B24" s="40" t="str">
        <f>IF(J24&gt;0,I24,"0")</f>
        <v>0</v>
      </c>
      <c r="C24" s="10">
        <v>0.5</v>
      </c>
      <c r="D24" s="15">
        <f t="shared" si="12"/>
        <v>10800</v>
      </c>
      <c r="E24" s="15">
        <f t="shared" ref="E24:E30" si="13">D24+E23</f>
        <v>114264</v>
      </c>
      <c r="F24" s="15">
        <f t="shared" si="8"/>
        <v>336000</v>
      </c>
      <c r="G24" s="15">
        <f t="shared" si="0"/>
        <v>540</v>
      </c>
      <c r="H24" s="15">
        <f>H23+G24</f>
        <v>5713</v>
      </c>
      <c r="I24" s="15">
        <f t="shared" ref="I24:I31" si="14">order_size-H24</f>
        <v>-5563</v>
      </c>
      <c r="J24" s="16">
        <f t="shared" si="5"/>
        <v>-5563</v>
      </c>
      <c r="K24" s="47">
        <f t="shared" si="6"/>
        <v>14</v>
      </c>
      <c r="L24" s="86">
        <f t="shared" si="7"/>
        <v>108.80448100822684</v>
      </c>
      <c r="N24" s="17">
        <f t="shared" ref="N24:N30" si="15">G25</f>
        <v>540</v>
      </c>
      <c r="O24" s="17">
        <f>D25</f>
        <v>10800</v>
      </c>
    </row>
    <row r="25" spans="1:15" customFormat="1" ht="26.1" customHeight="1">
      <c r="A25" s="11">
        <v>15</v>
      </c>
      <c r="B25" s="40" t="str">
        <f>IF(J25&gt;0,I25,"0")</f>
        <v>0</v>
      </c>
      <c r="C25" s="10">
        <v>0.5</v>
      </c>
      <c r="D25" s="46">
        <f t="shared" si="12"/>
        <v>10800</v>
      </c>
      <c r="E25" s="47">
        <f t="shared" si="13"/>
        <v>125064</v>
      </c>
      <c r="F25" s="47">
        <f>F24+av_mins</f>
        <v>360000</v>
      </c>
      <c r="G25" s="47">
        <f>ROUND((D25/SAM),0)</f>
        <v>540</v>
      </c>
      <c r="H25" s="47">
        <f t="shared" ref="H25:H30" si="16">H24+G25</f>
        <v>6253</v>
      </c>
      <c r="I25" s="47">
        <f t="shared" si="14"/>
        <v>-6103</v>
      </c>
      <c r="J25" s="47">
        <f t="shared" si="5"/>
        <v>-6103</v>
      </c>
      <c r="K25" s="47">
        <f t="shared" si="6"/>
        <v>15</v>
      </c>
      <c r="L25" s="86">
        <f t="shared" si="7"/>
        <v>106.50887573964496</v>
      </c>
      <c r="N25" s="47">
        <f t="shared" si="15"/>
        <v>540</v>
      </c>
      <c r="O25" s="47">
        <f t="shared" ref="O25:O30" si="17">D26</f>
        <v>10800</v>
      </c>
    </row>
    <row r="26" spans="1:15" customFormat="1" ht="26.1" customHeight="1">
      <c r="A26" s="11">
        <v>16</v>
      </c>
      <c r="B26" s="40" t="str">
        <f>IF(J26&gt;0,I26,"0")</f>
        <v>0</v>
      </c>
      <c r="C26" s="10">
        <v>0.5</v>
      </c>
      <c r="D26" s="46">
        <f t="shared" si="12"/>
        <v>10800</v>
      </c>
      <c r="E26" s="47">
        <f t="shared" si="13"/>
        <v>135864</v>
      </c>
      <c r="F26" s="47">
        <f>F25+av_mins</f>
        <v>384000</v>
      </c>
      <c r="G26" s="47">
        <f>ROUND((D26/SAM),0)</f>
        <v>540</v>
      </c>
      <c r="H26" s="47">
        <f>H25+G26</f>
        <v>6793</v>
      </c>
      <c r="I26" s="47">
        <f t="shared" si="14"/>
        <v>-6643</v>
      </c>
      <c r="J26" s="47">
        <f t="shared" si="5"/>
        <v>-6643</v>
      </c>
      <c r="K26" s="47">
        <f t="shared" si="6"/>
        <v>16</v>
      </c>
      <c r="L26" s="86">
        <f t="shared" si="7"/>
        <v>104.5782423082585</v>
      </c>
      <c r="N26" s="47">
        <f t="shared" si="15"/>
        <v>540</v>
      </c>
      <c r="O26" s="47">
        <f t="shared" si="17"/>
        <v>10800</v>
      </c>
    </row>
    <row r="27" spans="1:15" customFormat="1" ht="26.1" customHeight="1">
      <c r="A27" s="11">
        <v>17</v>
      </c>
      <c r="B27" s="40" t="str">
        <f t="shared" si="3"/>
        <v>0</v>
      </c>
      <c r="C27" s="10">
        <v>0.5</v>
      </c>
      <c r="D27" s="46">
        <f t="shared" si="12"/>
        <v>10800</v>
      </c>
      <c r="E27" s="47">
        <f t="shared" si="13"/>
        <v>146664</v>
      </c>
      <c r="F27" s="47">
        <f t="shared" si="8"/>
        <v>408000</v>
      </c>
      <c r="G27" s="47">
        <f t="shared" si="0"/>
        <v>540</v>
      </c>
      <c r="H27" s="47">
        <f t="shared" si="16"/>
        <v>7333</v>
      </c>
      <c r="I27" s="47">
        <f t="shared" si="14"/>
        <v>-7183</v>
      </c>
      <c r="J27" s="47">
        <f t="shared" si="5"/>
        <v>-7183</v>
      </c>
      <c r="K27" s="47">
        <f t="shared" si="6"/>
        <v>17</v>
      </c>
      <c r="L27" s="86">
        <f t="shared" si="7"/>
        <v>102.93195145233874</v>
      </c>
      <c r="N27" s="47">
        <f t="shared" si="15"/>
        <v>540</v>
      </c>
      <c r="O27" s="47">
        <f t="shared" si="17"/>
        <v>10800</v>
      </c>
    </row>
    <row r="28" spans="1:15" customFormat="1" ht="26.1" customHeight="1">
      <c r="A28" s="11">
        <v>18</v>
      </c>
      <c r="B28" s="40" t="str">
        <f t="shared" si="3"/>
        <v>0</v>
      </c>
      <c r="C28" s="10">
        <v>0.5</v>
      </c>
      <c r="D28" s="46">
        <f t="shared" si="12"/>
        <v>10800</v>
      </c>
      <c r="E28" s="47">
        <f t="shared" si="13"/>
        <v>157464</v>
      </c>
      <c r="F28" s="47">
        <f t="shared" si="8"/>
        <v>432000</v>
      </c>
      <c r="G28" s="47">
        <f t="shared" si="0"/>
        <v>540</v>
      </c>
      <c r="H28" s="47">
        <f t="shared" si="16"/>
        <v>7873</v>
      </c>
      <c r="I28" s="47">
        <f t="shared" si="14"/>
        <v>-7723</v>
      </c>
      <c r="J28" s="47">
        <f t="shared" si="5"/>
        <v>-7723</v>
      </c>
      <c r="K28" s="47">
        <f t="shared" si="6"/>
        <v>18</v>
      </c>
      <c r="L28" s="86">
        <f t="shared" si="7"/>
        <v>101.51149498285278</v>
      </c>
      <c r="N28" s="47">
        <f t="shared" si="15"/>
        <v>540</v>
      </c>
      <c r="O28" s="47">
        <f t="shared" si="17"/>
        <v>10800</v>
      </c>
    </row>
    <row r="29" spans="1:15" customFormat="1" ht="26.1" customHeight="1">
      <c r="A29" s="11">
        <v>19</v>
      </c>
      <c r="B29" s="40" t="str">
        <f t="shared" si="3"/>
        <v>0</v>
      </c>
      <c r="C29" s="10">
        <v>0.5</v>
      </c>
      <c r="D29" s="46">
        <f t="shared" si="12"/>
        <v>10800</v>
      </c>
      <c r="E29" s="47">
        <f t="shared" si="13"/>
        <v>168264</v>
      </c>
      <c r="F29" s="47">
        <f t="shared" si="8"/>
        <v>456000</v>
      </c>
      <c r="G29" s="47">
        <f t="shared" si="0"/>
        <v>540</v>
      </c>
      <c r="H29" s="47">
        <f t="shared" si="16"/>
        <v>8413</v>
      </c>
      <c r="I29" s="47">
        <f t="shared" si="14"/>
        <v>-8263</v>
      </c>
      <c r="J29" s="47">
        <f t="shared" si="5"/>
        <v>-8263</v>
      </c>
      <c r="K29" s="47">
        <f t="shared" si="6"/>
        <v>19</v>
      </c>
      <c r="L29" s="86">
        <f t="shared" si="7"/>
        <v>100.27338642576964</v>
      </c>
      <c r="N29" s="47">
        <f t="shared" si="15"/>
        <v>540</v>
      </c>
      <c r="O29" s="47">
        <f t="shared" si="17"/>
        <v>10800</v>
      </c>
    </row>
    <row r="30" spans="1:15" customFormat="1" ht="26.1" customHeight="1">
      <c r="A30" s="11">
        <v>20</v>
      </c>
      <c r="B30" s="40" t="str">
        <f t="shared" si="3"/>
        <v>0</v>
      </c>
      <c r="C30" s="10">
        <v>0.5</v>
      </c>
      <c r="D30" s="46">
        <f t="shared" si="12"/>
        <v>10800</v>
      </c>
      <c r="E30" s="47">
        <f t="shared" si="13"/>
        <v>179064</v>
      </c>
      <c r="F30" s="47">
        <f>F29+av_mins</f>
        <v>480000</v>
      </c>
      <c r="G30" s="47">
        <f t="shared" si="0"/>
        <v>540</v>
      </c>
      <c r="H30" s="47">
        <f t="shared" si="16"/>
        <v>8953</v>
      </c>
      <c r="I30" s="47">
        <f t="shared" si="14"/>
        <v>-8803</v>
      </c>
      <c r="J30" s="47">
        <f t="shared" si="5"/>
        <v>-8803</v>
      </c>
      <c r="K30" s="47">
        <f t="shared" si="6"/>
        <v>20</v>
      </c>
      <c r="L30" s="86">
        <f t="shared" si="7"/>
        <v>99.18463084999442</v>
      </c>
      <c r="N30" s="47">
        <f t="shared" si="15"/>
        <v>540</v>
      </c>
      <c r="O30" s="47">
        <f t="shared" si="17"/>
        <v>10800</v>
      </c>
    </row>
    <row r="31" spans="1:15" customFormat="1" ht="26.1" customHeight="1">
      <c r="A31" s="11">
        <v>21</v>
      </c>
      <c r="B31" s="40" t="str">
        <f t="shared" si="3"/>
        <v>0</v>
      </c>
      <c r="C31" s="10">
        <v>0.5</v>
      </c>
      <c r="D31" s="46">
        <f t="shared" si="12"/>
        <v>10800</v>
      </c>
      <c r="E31" s="47">
        <f>D31+E30</f>
        <v>189864</v>
      </c>
      <c r="F31" s="47">
        <f>F30+av_mins</f>
        <v>504000</v>
      </c>
      <c r="G31" s="47">
        <f t="shared" si="0"/>
        <v>540</v>
      </c>
      <c r="H31" s="47">
        <f>H30+G31</f>
        <v>9493</v>
      </c>
      <c r="I31" s="47">
        <f t="shared" si="14"/>
        <v>-9343</v>
      </c>
      <c r="J31" s="47">
        <f t="shared" si="5"/>
        <v>-9343</v>
      </c>
      <c r="K31" s="47">
        <f t="shared" si="6"/>
        <v>21</v>
      </c>
      <c r="L31" s="86">
        <f t="shared" si="7"/>
        <v>98.219740861687555</v>
      </c>
      <c r="N31" s="47"/>
    </row>
    <row r="32" spans="1:15" customFormat="1" ht="26.1" customHeight="1" thickBot="1">
      <c r="B32" s="41">
        <f>MIN(B11:B31)</f>
        <v>42</v>
      </c>
      <c r="I32" s="46"/>
      <c r="J32" s="46"/>
      <c r="K32" s="46"/>
      <c r="N32" s="46"/>
    </row>
    <row r="33" spans="1:13" ht="26.1" customHeight="1" thickBot="1">
      <c r="A33" s="89" t="s">
        <v>16</v>
      </c>
      <c r="B33" s="89"/>
      <c r="C33" s="89"/>
      <c r="D33" s="89"/>
      <c r="E33" s="89"/>
      <c r="F33" s="89"/>
      <c r="G33" s="89"/>
      <c r="H33" s="89"/>
      <c r="J33" s="18" t="s">
        <v>27</v>
      </c>
      <c r="K33" s="19">
        <f>VLOOKUP($B$32,$B$11:$I$32,8,0)</f>
        <v>42</v>
      </c>
      <c r="L33" s="20" t="s">
        <v>30</v>
      </c>
      <c r="M33" s="21">
        <f>VLOOKUP($B$32,$B$11:$I$32,6,0)</f>
        <v>108</v>
      </c>
    </row>
    <row r="34" spans="1:13" ht="26.1" customHeight="1" thickBot="1">
      <c r="C34" s="12" t="s">
        <v>17</v>
      </c>
      <c r="D34" s="13">
        <f>F14+((I14/G15)*av_mins)</f>
        <v>41777.777777777781</v>
      </c>
      <c r="E34" s="32"/>
      <c r="F34" s="37" t="s">
        <v>17</v>
      </c>
      <c r="G34" s="34">
        <f>ROUND((K34+(K33/K35*av_mins)),0)</f>
        <v>28667</v>
      </c>
      <c r="H34" s="1">
        <f>G34/100000</f>
        <v>0.28666999999999998</v>
      </c>
      <c r="J34" s="22" t="s">
        <v>28</v>
      </c>
      <c r="K34" s="23">
        <f>VLOOKUP($B$32,$B$11:$I$32,5,0)</f>
        <v>24000</v>
      </c>
      <c r="L34" s="24"/>
      <c r="M34" s="25"/>
    </row>
    <row r="35" spans="1:13" ht="26.1" customHeight="1" thickTop="1" thickBot="1">
      <c r="C35" s="12" t="s">
        <v>18</v>
      </c>
      <c r="D35" s="13">
        <f>E14+((I14/G15)*D15)</f>
        <v>3008</v>
      </c>
      <c r="E35" s="33"/>
      <c r="F35" s="38" t="s">
        <v>18</v>
      </c>
      <c r="G35" s="35">
        <f>ROUND((K37+(K33/K35)*K38),0)</f>
        <v>3000</v>
      </c>
      <c r="H35" s="78">
        <f>G35/100000</f>
        <v>0.03</v>
      </c>
      <c r="J35" s="26" t="s">
        <v>29</v>
      </c>
      <c r="K35" s="27">
        <f>VLOOKUP(M33,G11:N31,8,0)</f>
        <v>216</v>
      </c>
      <c r="L35" s="28"/>
      <c r="M35" s="29"/>
    </row>
    <row r="36" spans="1:13" ht="26.1" customHeight="1" thickTop="1" thickBot="1">
      <c r="C36" s="12" t="s">
        <v>20</v>
      </c>
      <c r="D36" s="14">
        <f>D35/D34</f>
        <v>7.1999999999999995E-2</v>
      </c>
      <c r="E36" s="33" t="s">
        <v>12</v>
      </c>
      <c r="F36" s="39" t="s">
        <v>20</v>
      </c>
      <c r="G36" s="36">
        <f>G35/G34</f>
        <v>0.10464994593086127</v>
      </c>
    </row>
    <row r="37" spans="1:13" ht="26.1" customHeight="1">
      <c r="F37" s="48" t="s">
        <v>40</v>
      </c>
      <c r="G37" s="48">
        <f>VLOOKUP($B$32,B11:K31,10,0)+1</f>
        <v>2</v>
      </c>
      <c r="J37" s="18" t="s">
        <v>31</v>
      </c>
      <c r="K37" s="30">
        <f>VLOOKUP($B$32,$B$11:$I$32,4,0)</f>
        <v>2160</v>
      </c>
      <c r="L37" s="20" t="s">
        <v>32</v>
      </c>
      <c r="M37" s="21">
        <f>VLOOKUP($B$32,$B$11:$I$32,3,0)</f>
        <v>2160</v>
      </c>
    </row>
    <row r="38" spans="1:13" ht="26.1" customHeight="1" thickBot="1">
      <c r="J38" s="26" t="s">
        <v>33</v>
      </c>
      <c r="K38" s="31">
        <f>VLOOKUP(M37,D11:O31,12,0)</f>
        <v>4320</v>
      </c>
      <c r="L38" s="28"/>
      <c r="M38" s="29"/>
    </row>
    <row r="41" spans="1:13" ht="26.1" customHeight="1">
      <c r="H41" s="1">
        <f>560000/48000</f>
        <v>11.666666666666666</v>
      </c>
    </row>
    <row r="42" spans="1:13" ht="26.1" customHeight="1" thickBot="1">
      <c r="H42" s="1">
        <f>(102/720)*21600</f>
        <v>3060</v>
      </c>
    </row>
    <row r="43" spans="1:13" ht="26.1" customHeight="1">
      <c r="K43" s="79" t="s">
        <v>73</v>
      </c>
      <c r="L43" s="80">
        <v>22</v>
      </c>
    </row>
    <row r="44" spans="1:13" ht="26.1" customHeight="1">
      <c r="K44" s="81" t="s">
        <v>75</v>
      </c>
      <c r="L44" s="82">
        <f>L43*av_mins</f>
        <v>528000</v>
      </c>
    </row>
    <row r="45" spans="1:13" ht="26.1" customHeight="1" thickBot="1">
      <c r="K45" s="83" t="s">
        <v>74</v>
      </c>
      <c r="L45" s="84">
        <f>H22+(G23*(L43-A22))</f>
        <v>10033</v>
      </c>
    </row>
    <row r="46" spans="1:13" ht="26.1" customHeight="1" thickBot="1"/>
    <row r="47" spans="1:13" ht="26.1" customHeight="1" thickBot="1">
      <c r="K47" s="88" t="s">
        <v>24</v>
      </c>
      <c r="L47" s="87">
        <f>(L44*D1)/L45</f>
        <v>97.358716236419809</v>
      </c>
    </row>
  </sheetData>
  <mergeCells count="1">
    <mergeCell ref="A33:H33"/>
  </mergeCells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B1:P26"/>
  <sheetViews>
    <sheetView zoomScale="85" zoomScaleNormal="85" zoomScalePageLayoutView="200" workbookViewId="0">
      <selection activeCell="F25" sqref="F25:G25"/>
    </sheetView>
  </sheetViews>
  <sheetFormatPr defaultColWidth="8.875" defaultRowHeight="15.75"/>
  <cols>
    <col min="1" max="1" width="8.875" style="50"/>
    <col min="2" max="2" width="38.375" style="50" customWidth="1"/>
    <col min="3" max="3" width="10.25" style="50" bestFit="1" customWidth="1"/>
    <col min="4" max="4" width="8.875" style="50"/>
    <col min="5" max="5" width="9.5" style="50" bestFit="1" customWidth="1"/>
    <col min="6" max="6" width="15.625" style="50" bestFit="1" customWidth="1"/>
    <col min="7" max="7" width="13.5" style="50" bestFit="1" customWidth="1"/>
    <col min="8" max="8" width="16.125" style="50" bestFit="1" customWidth="1"/>
    <col min="9" max="9" width="9.5" style="50" bestFit="1" customWidth="1"/>
    <col min="10" max="10" width="6.625" style="50" customWidth="1"/>
    <col min="11" max="11" width="16.125" style="50" bestFit="1" customWidth="1"/>
    <col min="12" max="12" width="8.875" style="50"/>
    <col min="13" max="13" width="14.625" style="50" bestFit="1" customWidth="1"/>
    <col min="14" max="14" width="13.5" style="50" bestFit="1" customWidth="1"/>
    <col min="15" max="15" width="14.625" style="50" customWidth="1"/>
    <col min="16" max="16" width="13.375" style="50" customWidth="1"/>
    <col min="17" max="16384" width="8.875" style="50"/>
  </cols>
  <sheetData>
    <row r="1" spans="2:16" ht="36" customHeight="1">
      <c r="E1" s="50" t="s">
        <v>69</v>
      </c>
      <c r="F1" s="51">
        <v>41927</v>
      </c>
      <c r="G1" s="50" t="s">
        <v>43</v>
      </c>
      <c r="H1" s="51">
        <v>41957</v>
      </c>
    </row>
    <row r="2" spans="2:16">
      <c r="G2" s="52" t="s">
        <v>49</v>
      </c>
      <c r="H2" s="53">
        <f>C20-1</f>
        <v>42001</v>
      </c>
    </row>
    <row r="3" spans="2:16">
      <c r="B3" s="50" t="s">
        <v>34</v>
      </c>
      <c r="C3" s="54">
        <v>1.85</v>
      </c>
      <c r="G3" s="52" t="s">
        <v>58</v>
      </c>
      <c r="H3" s="53">
        <f>H2-C18</f>
        <v>41991</v>
      </c>
    </row>
    <row r="4" spans="2:16" ht="31.5">
      <c r="B4" s="50" t="s">
        <v>35</v>
      </c>
      <c r="C4" s="55">
        <v>20</v>
      </c>
      <c r="K4" s="56" t="s">
        <v>50</v>
      </c>
      <c r="L4" s="50" t="s">
        <v>71</v>
      </c>
      <c r="M4" s="50" t="s">
        <v>59</v>
      </c>
      <c r="N4" s="50" t="s">
        <v>64</v>
      </c>
      <c r="O4" s="50" t="s">
        <v>65</v>
      </c>
      <c r="P4" s="50" t="s">
        <v>70</v>
      </c>
    </row>
    <row r="5" spans="2:16">
      <c r="B5" s="50" t="s">
        <v>1</v>
      </c>
      <c r="C5" s="57">
        <v>40</v>
      </c>
      <c r="K5" s="58" t="s">
        <v>51</v>
      </c>
      <c r="L5" s="50">
        <v>1.5</v>
      </c>
      <c r="M5" s="50">
        <v>10</v>
      </c>
      <c r="N5" s="51">
        <f>O5-M5</f>
        <v>41991</v>
      </c>
      <c r="O5" s="51">
        <f>H2</f>
        <v>42001</v>
      </c>
      <c r="P5" s="59">
        <f>L5*C$9</f>
        <v>126000</v>
      </c>
    </row>
    <row r="6" spans="2:16">
      <c r="B6" s="50" t="s">
        <v>36</v>
      </c>
      <c r="C6" s="55">
        <v>10</v>
      </c>
      <c r="K6" s="58" t="s">
        <v>52</v>
      </c>
      <c r="L6" s="50">
        <v>1</v>
      </c>
      <c r="M6" s="50">
        <v>4</v>
      </c>
      <c r="N6" s="51">
        <f>O6-M6</f>
        <v>41900</v>
      </c>
      <c r="O6" s="51">
        <v>41904</v>
      </c>
      <c r="P6" s="59">
        <f>L6*C$9</f>
        <v>84000</v>
      </c>
    </row>
    <row r="7" spans="2:16">
      <c r="B7" s="50" t="s">
        <v>8</v>
      </c>
      <c r="C7" s="55">
        <v>21</v>
      </c>
      <c r="K7" s="58" t="s">
        <v>53</v>
      </c>
      <c r="L7" s="50">
        <v>2</v>
      </c>
      <c r="M7" s="50">
        <v>5</v>
      </c>
      <c r="N7" s="51">
        <f>O7-M7</f>
        <v>41899</v>
      </c>
      <c r="O7" s="51">
        <v>41904</v>
      </c>
      <c r="P7" s="59">
        <f>L7*C$9</f>
        <v>168000</v>
      </c>
    </row>
    <row r="8" spans="2:16">
      <c r="B8" s="50" t="s">
        <v>9</v>
      </c>
      <c r="C8" s="60">
        <v>0.9</v>
      </c>
      <c r="K8" s="58" t="s">
        <v>54</v>
      </c>
      <c r="L8" s="50">
        <v>2</v>
      </c>
      <c r="M8" s="50">
        <v>4</v>
      </c>
      <c r="N8" s="51">
        <f>O8-M8</f>
        <v>41900</v>
      </c>
      <c r="O8" s="51">
        <v>41904</v>
      </c>
      <c r="P8" s="59">
        <f>L8*C$9</f>
        <v>168000</v>
      </c>
    </row>
    <row r="9" spans="2:16">
      <c r="B9" s="50" t="s">
        <v>41</v>
      </c>
      <c r="C9" s="61">
        <v>84000</v>
      </c>
      <c r="K9" s="62" t="s">
        <v>63</v>
      </c>
      <c r="L9" s="62"/>
      <c r="M9" s="62">
        <f>MAX(M5:M8)</f>
        <v>10</v>
      </c>
      <c r="N9" s="62"/>
      <c r="O9" s="62"/>
      <c r="P9" s="63">
        <f>MAX(P5:P8)</f>
        <v>168000</v>
      </c>
    </row>
    <row r="12" spans="2:16">
      <c r="F12" s="64"/>
    </row>
    <row r="14" spans="2:16" ht="16.5" thickBot="1"/>
    <row r="15" spans="2:16" ht="31.5">
      <c r="B15" s="90" t="s">
        <v>42</v>
      </c>
      <c r="C15" s="90"/>
      <c r="F15" s="91" t="s">
        <v>62</v>
      </c>
      <c r="G15" s="91"/>
      <c r="H15" s="91"/>
      <c r="I15" s="68"/>
      <c r="J15" s="69"/>
      <c r="K15" s="69" t="s">
        <v>51</v>
      </c>
      <c r="L15" s="69" t="s">
        <v>52</v>
      </c>
      <c r="M15" s="69" t="s">
        <v>53</v>
      </c>
      <c r="N15" s="69" t="s">
        <v>54</v>
      </c>
      <c r="O15" s="70" t="s">
        <v>67</v>
      </c>
    </row>
    <row r="16" spans="2:16">
      <c r="F16" s="52" t="s">
        <v>45</v>
      </c>
      <c r="G16" s="52">
        <f>Sheet1!J2</f>
        <v>9</v>
      </c>
      <c r="I16" s="71" t="s">
        <v>66</v>
      </c>
      <c r="J16" s="72"/>
      <c r="K16" s="72">
        <f>L5</f>
        <v>1.5</v>
      </c>
      <c r="L16" s="72">
        <f>L6</f>
        <v>1</v>
      </c>
      <c r="M16" s="72">
        <f>L7</f>
        <v>2</v>
      </c>
      <c r="N16" s="72">
        <f>L8</f>
        <v>2</v>
      </c>
      <c r="O16" s="73"/>
    </row>
    <row r="17" spans="2:15">
      <c r="B17" s="50" t="s">
        <v>44</v>
      </c>
      <c r="C17" s="50">
        <v>3</v>
      </c>
      <c r="F17" s="50" t="s">
        <v>46</v>
      </c>
      <c r="G17" s="65">
        <f>Sheet1!G36</f>
        <v>0.10464994593086127</v>
      </c>
      <c r="I17" s="74">
        <f>H3</f>
        <v>41991</v>
      </c>
      <c r="J17" s="72"/>
      <c r="K17" s="72">
        <f>$O$17*K16</f>
        <v>12600</v>
      </c>
      <c r="L17" s="72">
        <f>$O$17*L16</f>
        <v>8400</v>
      </c>
      <c r="M17" s="72">
        <f>$O$17*M16</f>
        <v>16800</v>
      </c>
      <c r="N17" s="72">
        <f>$O$17*N16</f>
        <v>16800</v>
      </c>
      <c r="O17" s="73">
        <f>$C$9/($H$2-$H$3)</f>
        <v>8400</v>
      </c>
    </row>
    <row r="18" spans="2:15">
      <c r="B18" s="50" t="s">
        <v>72</v>
      </c>
      <c r="C18" s="50">
        <f>M9</f>
        <v>10</v>
      </c>
      <c r="F18" s="50" t="s">
        <v>47</v>
      </c>
      <c r="G18" s="50">
        <f>Sheet1!G37</f>
        <v>2</v>
      </c>
      <c r="I18" s="74">
        <f>I17+1</f>
        <v>41992</v>
      </c>
      <c r="J18" s="72"/>
      <c r="K18" s="72">
        <v>2250</v>
      </c>
      <c r="L18" s="72">
        <v>1500</v>
      </c>
      <c r="M18" s="72">
        <v>3000</v>
      </c>
      <c r="N18" s="72">
        <v>3000</v>
      </c>
      <c r="O18" s="73">
        <f t="shared" ref="O18:O26" si="0">$C$9/($H$2-$H$3)</f>
        <v>8400</v>
      </c>
    </row>
    <row r="19" spans="2:15">
      <c r="F19" s="52" t="s">
        <v>24</v>
      </c>
      <c r="G19" s="66">
        <f>(C4/Sheet2!G17)*Sheet2!C3</f>
        <v>353.55966666666666</v>
      </c>
      <c r="I19" s="74">
        <f t="shared" ref="I19:I26" si="1">I18+1</f>
        <v>41993</v>
      </c>
      <c r="J19" s="72"/>
      <c r="K19" s="72">
        <v>2250</v>
      </c>
      <c r="L19" s="72">
        <v>1500</v>
      </c>
      <c r="M19" s="72">
        <v>3000</v>
      </c>
      <c r="N19" s="72">
        <v>3000</v>
      </c>
      <c r="O19" s="73">
        <f t="shared" si="0"/>
        <v>8400</v>
      </c>
    </row>
    <row r="20" spans="2:15">
      <c r="B20" s="50" t="s">
        <v>68</v>
      </c>
      <c r="C20" s="51">
        <v>42002</v>
      </c>
      <c r="G20" s="67"/>
      <c r="I20" s="74">
        <f t="shared" si="1"/>
        <v>41994</v>
      </c>
      <c r="J20" s="72"/>
      <c r="K20" s="72">
        <v>2250</v>
      </c>
      <c r="L20" s="72">
        <v>1500</v>
      </c>
      <c r="M20" s="72">
        <v>3000</v>
      </c>
      <c r="N20" s="72">
        <v>3000</v>
      </c>
      <c r="O20" s="73">
        <f t="shared" si="0"/>
        <v>8400</v>
      </c>
    </row>
    <row r="21" spans="2:15" ht="31.5">
      <c r="F21" s="50" t="s">
        <v>48</v>
      </c>
      <c r="G21" s="59">
        <f>C9/(H2-H3)</f>
        <v>8400</v>
      </c>
      <c r="H21" s="67"/>
      <c r="I21" s="74">
        <f t="shared" si="1"/>
        <v>41995</v>
      </c>
      <c r="J21" s="72"/>
      <c r="K21" s="72">
        <v>2250</v>
      </c>
      <c r="L21" s="72">
        <v>1500</v>
      </c>
      <c r="M21" s="72">
        <v>3000</v>
      </c>
      <c r="N21" s="72">
        <v>3000</v>
      </c>
      <c r="O21" s="73">
        <f t="shared" si="0"/>
        <v>8400</v>
      </c>
    </row>
    <row r="22" spans="2:15">
      <c r="G22" s="59"/>
      <c r="I22" s="74">
        <f t="shared" si="1"/>
        <v>41996</v>
      </c>
      <c r="J22" s="72"/>
      <c r="K22" s="72">
        <v>2250</v>
      </c>
      <c r="L22" s="72">
        <v>1500</v>
      </c>
      <c r="M22" s="72">
        <v>3000</v>
      </c>
      <c r="N22" s="72">
        <v>3000</v>
      </c>
      <c r="O22" s="73">
        <f t="shared" si="0"/>
        <v>8400</v>
      </c>
    </row>
    <row r="23" spans="2:15" ht="31.5">
      <c r="F23" s="50" t="s">
        <v>55</v>
      </c>
      <c r="G23" s="59">
        <f>C17*G21</f>
        <v>25200</v>
      </c>
      <c r="I23" s="74">
        <f t="shared" si="1"/>
        <v>41997</v>
      </c>
      <c r="J23" s="72"/>
      <c r="K23" s="72">
        <v>2250</v>
      </c>
      <c r="L23" s="72">
        <v>1500</v>
      </c>
      <c r="M23" s="72">
        <v>3000</v>
      </c>
      <c r="N23" s="72">
        <v>3000</v>
      </c>
      <c r="O23" s="73">
        <f t="shared" si="0"/>
        <v>8400</v>
      </c>
    </row>
    <row r="24" spans="2:15" ht="78.75">
      <c r="F24" s="50" t="s">
        <v>56</v>
      </c>
      <c r="G24" s="50">
        <f>ROUND(G23/G21,0)</f>
        <v>3</v>
      </c>
      <c r="I24" s="74">
        <f t="shared" si="1"/>
        <v>41998</v>
      </c>
      <c r="J24" s="72"/>
      <c r="K24" s="72">
        <v>2250</v>
      </c>
      <c r="L24" s="72">
        <v>1500</v>
      </c>
      <c r="M24" s="72">
        <v>3000</v>
      </c>
      <c r="N24" s="72">
        <v>3000</v>
      </c>
      <c r="O24" s="73">
        <f t="shared" si="0"/>
        <v>8400</v>
      </c>
    </row>
    <row r="25" spans="2:15" ht="30">
      <c r="F25" s="52" t="s">
        <v>57</v>
      </c>
      <c r="G25" s="53">
        <f>H3+G24</f>
        <v>41994</v>
      </c>
      <c r="I25" s="74">
        <f t="shared" si="1"/>
        <v>41999</v>
      </c>
      <c r="J25" s="72"/>
      <c r="K25" s="72">
        <v>2250</v>
      </c>
      <c r="L25" s="72">
        <v>1500</v>
      </c>
      <c r="M25" s="72">
        <v>3000</v>
      </c>
      <c r="N25" s="72">
        <v>3000</v>
      </c>
      <c r="O25" s="73">
        <f t="shared" si="0"/>
        <v>8400</v>
      </c>
    </row>
    <row r="26" spans="2:15" ht="16.5" thickBot="1">
      <c r="I26" s="75">
        <f t="shared" si="1"/>
        <v>42000</v>
      </c>
      <c r="J26" s="76"/>
      <c r="K26" s="76">
        <v>2250</v>
      </c>
      <c r="L26" s="76">
        <v>1500</v>
      </c>
      <c r="M26" s="76">
        <v>3000</v>
      </c>
      <c r="N26" s="76">
        <v>3000</v>
      </c>
      <c r="O26" s="77">
        <f t="shared" si="0"/>
        <v>8400</v>
      </c>
    </row>
  </sheetData>
  <mergeCells count="2">
    <mergeCell ref="B15:C15"/>
    <mergeCell ref="F15:H15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E6"/>
  <sheetViews>
    <sheetView workbookViewId="0">
      <selection activeCell="B6" sqref="B6"/>
    </sheetView>
  </sheetViews>
  <sheetFormatPr defaultColWidth="8.875" defaultRowHeight="15.75"/>
  <cols>
    <col min="1" max="1" width="18.625" bestFit="1" customWidth="1"/>
    <col min="2" max="2" width="9.5" bestFit="1" customWidth="1"/>
    <col min="4" max="4" width="18.625" bestFit="1" customWidth="1"/>
    <col min="5" max="5" width="9.25" bestFit="1" customWidth="1"/>
  </cols>
  <sheetData>
    <row r="1" spans="1:5">
      <c r="A1" t="s">
        <v>60</v>
      </c>
      <c r="D1" t="s">
        <v>61</v>
      </c>
    </row>
    <row r="2" spans="1:5">
      <c r="A2" t="s">
        <v>49</v>
      </c>
      <c r="B2" s="49">
        <v>42001</v>
      </c>
      <c r="D2" t="s">
        <v>49</v>
      </c>
      <c r="E2" s="49">
        <v>41993</v>
      </c>
    </row>
    <row r="3" spans="1:5">
      <c r="A3" t="s">
        <v>58</v>
      </c>
      <c r="B3" s="49">
        <v>41991</v>
      </c>
      <c r="D3" t="s">
        <v>58</v>
      </c>
      <c r="E3" s="49">
        <v>41983</v>
      </c>
    </row>
    <row r="4" spans="1:5">
      <c r="A4" s="52" t="s">
        <v>45</v>
      </c>
      <c r="B4" s="52">
        <v>9</v>
      </c>
      <c r="D4" t="s">
        <v>45</v>
      </c>
      <c r="E4">
        <v>2</v>
      </c>
    </row>
    <row r="5" spans="1:5">
      <c r="A5" t="s">
        <v>24</v>
      </c>
      <c r="B5">
        <v>98.491679742094632</v>
      </c>
      <c r="D5" t="s">
        <v>24</v>
      </c>
      <c r="E5">
        <v>112.7906907026675</v>
      </c>
    </row>
    <row r="6" spans="1:5">
      <c r="A6" t="s">
        <v>57</v>
      </c>
      <c r="B6" s="49">
        <v>41994</v>
      </c>
      <c r="D6" t="s">
        <v>57</v>
      </c>
      <c r="E6" s="49">
        <v>41986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Sheet1</vt:lpstr>
      <vt:lpstr>Sheet2</vt:lpstr>
      <vt:lpstr>Sheet7</vt:lpstr>
      <vt:lpstr>achievement</vt:lpstr>
      <vt:lpstr>av_mins</vt:lpstr>
      <vt:lpstr>order_size</vt:lpstr>
      <vt:lpstr>SAM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Samrat verma</dc:creator>
  <cp:lastModifiedBy>Hitesh</cp:lastModifiedBy>
  <dcterms:created xsi:type="dcterms:W3CDTF">2014-03-26T09:22:23Z</dcterms:created>
  <dcterms:modified xsi:type="dcterms:W3CDTF">2015-05-14T06:14:04Z</dcterms:modified>
</cp:coreProperties>
</file>